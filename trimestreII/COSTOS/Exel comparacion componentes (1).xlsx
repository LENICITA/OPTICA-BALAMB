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- AYUDA -" sheetId="1" r:id="rId4"/>
    <sheet state="visible" name="Precios " sheetId="2" r:id="rId5"/>
    <sheet state="hidden" name="Soporte" sheetId="3" r:id="rId6"/>
  </sheets>
  <definedNames/>
  <calcPr/>
</workbook>
</file>

<file path=xl/sharedStrings.xml><?xml version="1.0" encoding="utf-8"?>
<sst xmlns="http://schemas.openxmlformats.org/spreadsheetml/2006/main" count="71" uniqueCount="58">
  <si>
    <t>Ayuda</t>
  </si>
  <si>
    <t>Comparación de Precios entre diferentes proveedores</t>
  </si>
  <si>
    <t>Ingresa en la tabla los productos, los proveedores y sus precios</t>
  </si>
  <si>
    <t>ESTADÍSTICAS POR PRODUCTO</t>
  </si>
  <si>
    <t>PRODUCTO</t>
  </si>
  <si>
    <t>CANTIDAD</t>
  </si>
  <si>
    <t>Falabella</t>
  </si>
  <si>
    <t>Alkosto</t>
  </si>
  <si>
    <t>Mercado Libre</t>
  </si>
  <si>
    <t>PROVEEDOR 4</t>
  </si>
  <si>
    <t>PROVEEDOR 5</t>
  </si>
  <si>
    <t>PROVEEDOR 6</t>
  </si>
  <si>
    <t>PRECIO MÁS BAJO</t>
  </si>
  <si>
    <t>PRECIO PROMEDIO</t>
  </si>
  <si>
    <t>PRECIO MÁS ALTO</t>
  </si>
  <si>
    <t xml:space="preserve">Thermaltake View 270 Plus TG ARGB
</t>
  </si>
  <si>
    <t xml:space="preserve">Monitor LG 24 Gamer Ultragear Fhd 180hz Color Black
</t>
  </si>
  <si>
    <t xml:space="preserve">Kingston NVMe M.2 SSD
</t>
  </si>
  <si>
    <t xml:space="preserve">WD Blue 1 TB (3.5″) HDD
</t>
  </si>
  <si>
    <t xml:space="preserve">Poweredge T150 - Tower Server/ Intel Xeon E-2336g/16gb/2tb
</t>
  </si>
  <si>
    <t xml:space="preserve">MEMORIA RAM DDR4 16G 3200 CORSAIR VENGEANCE RGB RS
</t>
  </si>
  <si>
    <t xml:space="preserve">Combo Dell Wireless Km3322w Teclado + Mouse
</t>
  </si>
  <si>
    <t xml:space="preserve">Mouse LENOVO Alámbrico Gaming M210 Negro
</t>
  </si>
  <si>
    <t xml:space="preserve">Microsoft Windows 11 Profesional GGK Kit de Legalización 64 Bits Oem 4YR-00229
</t>
  </si>
  <si>
    <t xml:space="preserve">"
Suscripción a Visual Studio Enterprise (nuevo)"
</t>
  </si>
  <si>
    <t xml:space="preserve">"Licencia Windows 11 Pro ESD Vitalicia
"
</t>
  </si>
  <si>
    <t xml:space="preserve">SQL Server 2022 Standard (8 cores)
</t>
  </si>
  <si>
    <t>Total</t>
  </si>
  <si>
    <t>DATOS ADICIONALES</t>
  </si>
  <si>
    <t>TIEMPO DE ENTREGA (DÍAS)</t>
  </si>
  <si>
    <t>Horas de dia los 7 dias de la semana</t>
  </si>
  <si>
    <t>de 3 a 5 minutos</t>
  </si>
  <si>
    <t>3 a 10 dias habiles</t>
  </si>
  <si>
    <t>entrega de 2  dias habiles</t>
  </si>
  <si>
    <t>1 a 5 dias habiles</t>
  </si>
  <si>
    <t>5 dias laborales</t>
  </si>
  <si>
    <t>COSTO DE ENVÍO</t>
  </si>
  <si>
    <t>$ 7.055</t>
  </si>
  <si>
    <t>$287.497</t>
  </si>
  <si>
    <t>$295.39</t>
  </si>
  <si>
    <t>FORMAS DE PAGO</t>
  </si>
  <si>
    <t>contado</t>
  </si>
  <si>
    <t>Almendras</t>
  </si>
  <si>
    <t>Nueces</t>
  </si>
  <si>
    <t>Pistachos</t>
  </si>
  <si>
    <t>Pecán</t>
  </si>
  <si>
    <t>Bananas</t>
  </si>
  <si>
    <t>Pasas</t>
  </si>
  <si>
    <t>Gratis</t>
  </si>
  <si>
    <t>Efvo</t>
  </si>
  <si>
    <t>Mercado Pago</t>
  </si>
  <si>
    <t>Efectivo</t>
  </si>
  <si>
    <t xml:space="preserve">Tarjeta </t>
  </si>
  <si>
    <t>Tarjeta cuotas</t>
  </si>
  <si>
    <t>Piñones</t>
  </si>
  <si>
    <t>Cranberries</t>
  </si>
  <si>
    <t>Castañas</t>
  </si>
  <si>
    <t>China 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</si>
</sst>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\ #,##0.00"/>
    <numFmt numFmtId="165" formatCode="&quot;$&quot;\ #,##0.00;[Red]\-&quot;$&quot;\ #,##0.00"/>
  </numFmts>
  <fonts count="20">
    <font>
      <sz val="8.0"/>
      <color theme="1"/>
      <name val="Arial"/>
      <scheme val="minor"/>
    </font>
    <font>
      <sz val="12.0"/>
      <color theme="1"/>
      <name val="Calibri"/>
    </font>
    <font>
      <sz val="8.0"/>
      <color theme="1"/>
      <name val="Arial"/>
    </font>
    <font>
      <b/>
      <sz val="22.0"/>
      <color rgb="FF3F3F3F"/>
      <name val="Calibri"/>
    </font>
    <font>
      <sz val="10.0"/>
      <color theme="1"/>
      <name val="Calibri"/>
    </font>
    <font>
      <sz val="16.0"/>
      <color rgb="FF7F7F7F"/>
      <name val="Calibri"/>
    </font>
    <font>
      <sz val="20.0"/>
      <color theme="1"/>
      <name val="Calibri"/>
    </font>
    <font>
      <b/>
      <sz val="14.0"/>
      <color theme="0"/>
      <name val="Calibri"/>
    </font>
    <font/>
    <font>
      <b/>
      <sz val="14.0"/>
      <color rgb="FF8745EC"/>
      <name val="Calibri"/>
    </font>
    <font>
      <sz val="14.0"/>
      <color theme="1"/>
      <name val="Calibri"/>
    </font>
    <font>
      <sz val="14.0"/>
      <color rgb="FF595959"/>
      <name val="Calibri"/>
    </font>
    <font>
      <b/>
      <sz val="14.0"/>
      <color rgb="FF595959"/>
      <name val="Calibri"/>
    </font>
    <font>
      <b/>
      <sz val="14.0"/>
      <color rgb="FF7F7F7F"/>
      <name val="Calibri"/>
    </font>
    <font>
      <sz val="10.0"/>
      <color rgb="FFFF0000"/>
      <name val="Calibri"/>
    </font>
    <font>
      <sz val="8.0"/>
      <color rgb="FF595959"/>
      <name val="Calibri"/>
    </font>
    <font>
      <sz val="11.0"/>
      <color rgb="FF4D5156"/>
      <name val="Arial"/>
    </font>
    <font>
      <sz val="18.0"/>
      <color rgb="FF000000"/>
      <name val="Proxima Nova"/>
    </font>
    <font>
      <sz val="11.0"/>
      <color rgb="FF000000"/>
      <name val="Arial"/>
    </font>
    <font>
      <sz val="13.0"/>
      <color rgb="FF595959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8745EC"/>
        <bgColor rgb="FF8745EC"/>
      </patternFill>
    </fill>
    <fill>
      <patternFill patternType="solid">
        <fgColor theme="0"/>
        <bgColor theme="0"/>
      </patternFill>
    </fill>
    <fill>
      <patternFill patternType="solid">
        <fgColor rgb="FFF8F3FF"/>
        <bgColor rgb="FFF8F3FF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46">
    <border/>
    <border>
      <left/>
      <right/>
      <top/>
      <bottom/>
    </border>
    <border>
      <left/>
      <right/>
      <top/>
      <bottom style="thin">
        <color theme="0"/>
      </bottom>
    </border>
    <border>
      <left style="medium">
        <color rgb="FF8745EC"/>
      </left>
      <top style="medium">
        <color rgb="FF8745EC"/>
      </top>
      <bottom style="thin">
        <color theme="0"/>
      </bottom>
    </border>
    <border>
      <top style="medium">
        <color rgb="FF8745EC"/>
      </top>
      <bottom style="thin">
        <color theme="0"/>
      </bottom>
    </border>
    <border>
      <right style="medium">
        <color rgb="FF8745EC"/>
      </right>
      <top style="medium">
        <color rgb="FF8745EC"/>
      </top>
      <bottom style="thin">
        <color theme="0"/>
      </bottom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</border>
    <border>
      <left style="medium">
        <color rgb="FF8745EC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medium">
        <color rgb="FF8745EC"/>
      </right>
      <top style="thin">
        <color theme="0"/>
      </top>
      <bottom style="thin">
        <color theme="0"/>
      </bottom>
    </border>
    <border>
      <left/>
      <right/>
      <top/>
      <bottom style="medium">
        <color rgb="FFF2F2F2"/>
      </bottom>
    </border>
    <border>
      <left/>
      <right style="thin">
        <color theme="0"/>
      </right>
      <top style="thin">
        <color theme="0"/>
      </top>
      <bottom style="thin">
        <color theme="0"/>
      </bottom>
    </border>
    <border>
      <bottom style="medium">
        <color rgb="FFF2F2F2"/>
      </bottom>
    </border>
    <border>
      <left style="medium">
        <color rgb="FF8745EC"/>
      </left>
      <top/>
      <bottom/>
    </border>
    <border>
      <right style="medium">
        <color theme="0"/>
      </right>
      <top/>
      <bottom/>
    </border>
    <border>
      <left style="medium">
        <color theme="0"/>
      </left>
      <right style="medium">
        <color theme="0"/>
      </right>
      <top style="medium">
        <color theme="0"/>
      </top>
    </border>
    <border>
      <left style="thin">
        <color theme="0"/>
      </left>
      <top style="thin">
        <color theme="0"/>
      </top>
      <bottom style="thin">
        <color theme="0"/>
      </bottom>
    </border>
    <border>
      <right/>
      <top style="thin">
        <color theme="0"/>
      </top>
      <bottom style="thin">
        <color theme="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A5A5A5"/>
      </right>
      <top style="thin">
        <color rgb="FF7F7F7F"/>
      </top>
      <bottom style="thin">
        <color rgb="FF7F7F7F"/>
      </bottom>
    </border>
    <border>
      <left style="thin">
        <color rgb="FFA5A5A5"/>
      </left>
      <top style="thin">
        <color rgb="FF7F7F7F"/>
      </top>
      <bottom style="thin">
        <color rgb="FF7F7F7F"/>
      </bottom>
    </border>
    <border>
      <left style="thin">
        <color rgb="FFA5A5A5"/>
      </left>
      <right style="thin">
        <color rgb="FFA5A5A5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A5A5A5"/>
      </right>
      <bottom style="thin">
        <color rgb="FF7F7F7F"/>
      </bottom>
    </border>
    <border>
      <left style="thin">
        <color rgb="FFA5A5A5"/>
      </left>
      <right style="thin">
        <color rgb="FFA5A5A5"/>
      </right>
      <bottom style="thin">
        <color rgb="FF7F7F7F"/>
      </bottom>
    </border>
    <border>
      <left style="thin">
        <color theme="0"/>
      </left>
      <top style="thin">
        <color theme="0"/>
      </top>
    </border>
    <border>
      <right/>
      <top style="thin">
        <color theme="0"/>
      </top>
    </border>
    <border>
      <left style="thin">
        <color rgb="FF7F7F7F"/>
      </left>
      <right style="thin">
        <color rgb="FFA5A5A5"/>
      </right>
      <top style="thin">
        <color rgb="FF7F7F7F"/>
      </top>
      <bottom style="dotted">
        <color rgb="FFA5A5A5"/>
      </bottom>
    </border>
    <border>
      <left style="thin">
        <color rgb="FFA5A5A5"/>
      </left>
      <right style="thin">
        <color rgb="FFA5A5A5"/>
      </right>
      <top style="thin">
        <color rgb="FF7F7F7F"/>
      </top>
      <bottom style="dotted">
        <color rgb="FFA5A5A5"/>
      </bottom>
    </border>
    <border>
      <left style="thin">
        <color theme="0"/>
      </left>
    </border>
    <border>
      <right/>
    </border>
    <border>
      <left style="thin">
        <color rgb="FF7F7F7F"/>
      </left>
      <right style="thin">
        <color rgb="FFA5A5A5"/>
      </right>
      <top style="dotted">
        <color rgb="FFA5A5A5"/>
      </top>
      <bottom style="dotted">
        <color rgb="FFA5A5A5"/>
      </bottom>
    </border>
    <border>
      <left style="thin">
        <color rgb="FF7F7F7F"/>
      </left>
      <right style="thin">
        <color rgb="FFA5A5A5"/>
      </right>
      <top style="dotted">
        <color rgb="FFA5A5A5"/>
      </top>
    </border>
    <border>
      <left style="thin">
        <color theme="0"/>
      </left>
      <bottom style="thin">
        <color theme="0"/>
      </bottom>
    </border>
    <border>
      <right/>
      <bottom style="thin">
        <color theme="0"/>
      </bottom>
    </border>
    <border>
      <right style="thin">
        <color rgb="FFA5A5A5"/>
      </right>
      <top style="dotted">
        <color rgb="FFA5A5A5"/>
      </top>
      <bottom style="thin">
        <color rgb="FF7F7F7F"/>
      </bottom>
    </border>
    <border>
      <left style="thin">
        <color rgb="FFA5A5A5"/>
      </left>
      <right style="thin">
        <color rgb="FFA5A5A5"/>
      </right>
      <top style="dotted">
        <color rgb="FFA5A5A5"/>
      </top>
      <bottom style="thin">
        <color rgb="FF7F7F7F"/>
      </bottom>
    </border>
    <border>
      <right style="thin">
        <color rgb="FFFFFF66"/>
      </right>
    </border>
    <border>
      <left style="thin">
        <color rgb="FFFFFF66"/>
      </left>
      <right style="thin">
        <color rgb="FFFFFF66"/>
      </right>
      <top style="thin">
        <color rgb="FFFFFFFF"/>
      </top>
      <bottom style="thin">
        <color rgb="FFF2F2F2"/>
      </bottom>
    </border>
    <border>
      <left style="thin">
        <color rgb="FFFFFF66"/>
      </left>
    </border>
    <border>
      <left style="thin">
        <color rgb="FFFFFF66"/>
      </left>
      <right style="thin">
        <color rgb="FFFFFF66"/>
      </right>
      <top style="thin">
        <color rgb="FFF2F2F2"/>
      </top>
      <bottom style="thin">
        <color rgb="FFF2F2F2"/>
      </bottom>
    </border>
    <border>
      <top style="dotted">
        <color rgb="FFF2F2F2"/>
      </top>
      <bottom style="medium">
        <color rgb="FFF2F2F2"/>
      </bottom>
    </border>
    <border>
      <left style="thin">
        <color rgb="FF7F7F7F"/>
      </left>
      <right style="thin">
        <color rgb="FFA5A5A5"/>
      </right>
      <top style="thin">
        <color rgb="FF7F7F7F"/>
      </top>
      <bottom style="thin">
        <color rgb="FF7F7F7F"/>
      </bottom>
    </border>
    <border>
      <left style="thin">
        <color rgb="FFA5A5A5"/>
      </left>
      <right style="thin">
        <color rgb="FFA5A5A5"/>
      </right>
      <top style="dotted">
        <color rgb="FFA5A5A5"/>
      </top>
      <bottom style="dotted">
        <color rgb="FFA5A5A5"/>
      </bottom>
    </border>
    <border>
      <left style="thin">
        <color rgb="FF7F7F7F"/>
      </left>
      <right style="thin">
        <color rgb="FFA5A5A5"/>
      </right>
      <top style="dotted">
        <color rgb="FFA5A5A5"/>
      </top>
      <bottom style="thin">
        <color rgb="FF7F7F7F"/>
      </bottom>
    </border>
    <border>
      <left/>
      <right/>
      <top/>
      <bottom style="thin">
        <color rgb="FFF2F2F2"/>
      </bottom>
    </border>
    <border>
      <left/>
      <right/>
      <top style="thin">
        <color rgb="FFF2F2F2"/>
      </top>
      <bottom style="thin">
        <color rgb="FFF2F2F2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Alignment="1" applyFont="1">
      <alignment vertical="center"/>
    </xf>
    <xf borderId="0" fillId="0" fontId="3" numFmtId="0" xfId="0" applyAlignment="1" applyFont="1">
      <alignment vertical="top"/>
    </xf>
    <xf borderId="1" fillId="3" fontId="4" numFmtId="0" xfId="0" applyBorder="1" applyFill="1" applyFont="1"/>
    <xf borderId="0" fillId="0" fontId="4" numFmtId="0" xfId="0" applyFont="1"/>
    <xf borderId="2" fillId="2" fontId="2" numFmtId="0" xfId="0" applyBorder="1" applyFont="1"/>
    <xf borderId="0" fillId="0" fontId="5" numFmtId="0" xfId="0" applyAlignment="1" applyFont="1">
      <alignment vertical="top"/>
    </xf>
    <xf borderId="1" fillId="3" fontId="6" numFmtId="0" xfId="0" applyAlignment="1" applyBorder="1" applyFont="1">
      <alignment vertical="center"/>
    </xf>
    <xf borderId="3" fillId="2" fontId="7" numFmtId="0" xfId="0" applyAlignment="1" applyBorder="1" applyFont="1">
      <alignment horizontal="center" shrinkToFit="0" vertical="center" wrapText="1"/>
    </xf>
    <xf borderId="4" fillId="0" fontId="8" numFmtId="0" xfId="0" applyBorder="1" applyFont="1"/>
    <xf borderId="5" fillId="0" fontId="8" numFmtId="0" xfId="0" applyBorder="1" applyFont="1"/>
    <xf borderId="1" fillId="3" fontId="1" numFmtId="0" xfId="0" applyAlignment="1" applyBorder="1" applyFont="1">
      <alignment horizontal="center"/>
    </xf>
    <xf borderId="6" fillId="4" fontId="9" numFmtId="0" xfId="0" applyAlignment="1" applyBorder="1" applyFill="1" applyFont="1">
      <alignment horizontal="center" shrinkToFit="0" vertical="center" wrapText="1"/>
    </xf>
    <xf borderId="6" fillId="4" fontId="9" numFmtId="0" xfId="0" applyAlignment="1" applyBorder="1" applyFont="1">
      <alignment horizontal="center" readingOrder="0" shrinkToFit="0" vertical="center" wrapText="1"/>
    </xf>
    <xf borderId="7" fillId="2" fontId="7" numFmtId="0" xfId="0" applyAlignment="1" applyBorder="1" applyFont="1">
      <alignment horizontal="center" shrinkToFit="0" vertical="center" wrapText="1"/>
    </xf>
    <xf borderId="8" fillId="2" fontId="7" numFmtId="0" xfId="0" applyAlignment="1" applyBorder="1" applyFont="1">
      <alignment horizontal="center" shrinkToFit="0" vertical="center" wrapText="1"/>
    </xf>
    <xf borderId="9" fillId="2" fontId="7" numFmtId="0" xfId="0" applyAlignment="1" applyBorder="1" applyFont="1">
      <alignment horizontal="center" shrinkToFit="0" vertical="center" wrapText="1"/>
    </xf>
    <xf borderId="1" fillId="3" fontId="1" numFmtId="0" xfId="0" applyBorder="1" applyFont="1"/>
    <xf borderId="0" fillId="0" fontId="10" numFmtId="0" xfId="0" applyAlignment="1" applyFont="1">
      <alignment readingOrder="0" shrinkToFit="0" vertical="center" wrapText="1"/>
    </xf>
    <xf borderId="10" fillId="4" fontId="11" numFmtId="2" xfId="0" applyAlignment="1" applyBorder="1" applyFont="1" applyNumberFormat="1">
      <alignment horizontal="center" vertical="center"/>
    </xf>
    <xf borderId="10" fillId="3" fontId="11" numFmtId="164" xfId="0" applyAlignment="1" applyBorder="1" applyFont="1" applyNumberFormat="1">
      <alignment horizontal="center" readingOrder="0" vertical="center"/>
    </xf>
    <xf borderId="10" fillId="4" fontId="11" numFmtId="164" xfId="0" applyAlignment="1" applyBorder="1" applyFont="1" applyNumberFormat="1">
      <alignment horizontal="center" readingOrder="0" vertical="center"/>
    </xf>
    <xf borderId="10" fillId="4" fontId="11" numFmtId="164" xfId="0" applyAlignment="1" applyBorder="1" applyFont="1" applyNumberFormat="1">
      <alignment horizontal="center" vertical="center"/>
    </xf>
    <xf borderId="1" fillId="4" fontId="12" numFmtId="164" xfId="0" applyAlignment="1" applyBorder="1" applyFont="1" applyNumberFormat="1">
      <alignment horizontal="center" vertical="center"/>
    </xf>
    <xf borderId="11" fillId="5" fontId="13" numFmtId="164" xfId="0" applyAlignment="1" applyBorder="1" applyFill="1" applyFont="1" applyNumberFormat="1">
      <alignment horizontal="center"/>
    </xf>
    <xf borderId="8" fillId="5" fontId="13" numFmtId="164" xfId="0" applyAlignment="1" applyBorder="1" applyFont="1" applyNumberFormat="1">
      <alignment horizontal="center"/>
    </xf>
    <xf borderId="9" fillId="5" fontId="13" numFmtId="164" xfId="0" applyAlignment="1" applyBorder="1" applyFont="1" applyNumberFormat="1">
      <alignment horizontal="center"/>
    </xf>
    <xf borderId="12" fillId="0" fontId="11" numFmtId="164" xfId="0" applyAlignment="1" applyBorder="1" applyFont="1" applyNumberFormat="1">
      <alignment horizontal="center" readingOrder="0" shrinkToFit="0" vertical="center" wrapText="1"/>
    </xf>
    <xf borderId="12" fillId="0" fontId="11" numFmtId="2" xfId="0" applyAlignment="1" applyBorder="1" applyFont="1" applyNumberFormat="1">
      <alignment horizontal="center" vertical="center"/>
    </xf>
    <xf borderId="12" fillId="0" fontId="11" numFmtId="164" xfId="0" applyAlignment="1" applyBorder="1" applyFont="1" applyNumberFormat="1">
      <alignment horizontal="center" readingOrder="0" vertical="center"/>
    </xf>
    <xf borderId="12" fillId="0" fontId="11" numFmtId="164" xfId="0" applyAlignment="1" applyBorder="1" applyFont="1" applyNumberFormat="1">
      <alignment horizontal="center" vertical="center"/>
    </xf>
    <xf borderId="7" fillId="5" fontId="13" numFmtId="164" xfId="0" applyAlignment="1" applyBorder="1" applyFont="1" applyNumberFormat="1">
      <alignment horizontal="center"/>
    </xf>
    <xf borderId="0" fillId="0" fontId="11" numFmtId="164" xfId="0" applyAlignment="1" applyFont="1" applyNumberFormat="1">
      <alignment horizontal="center" readingOrder="0" shrinkToFit="0" vertical="center" wrapText="1"/>
    </xf>
    <xf borderId="0" fillId="0" fontId="14" numFmtId="0" xfId="0" applyFont="1"/>
    <xf borderId="1" fillId="5" fontId="12" numFmtId="0" xfId="0" applyAlignment="1" applyBorder="1" applyFont="1">
      <alignment horizontal="center" vertical="center"/>
    </xf>
    <xf borderId="10" fillId="5" fontId="12" numFmtId="164" xfId="0" applyAlignment="1" applyBorder="1" applyFont="1" applyNumberFormat="1">
      <alignment horizontal="center" vertical="center"/>
    </xf>
    <xf borderId="0" fillId="0" fontId="13" numFmtId="0" xfId="0" applyAlignment="1" applyFont="1">
      <alignment horizontal="center"/>
    </xf>
    <xf borderId="0" fillId="0" fontId="13" numFmtId="164" xfId="0" applyAlignment="1" applyFont="1" applyNumberFormat="1">
      <alignment horizontal="center"/>
    </xf>
    <xf borderId="13" fillId="2" fontId="7" numFmtId="0" xfId="0" applyAlignment="1" applyBorder="1" applyFont="1">
      <alignment horizontal="center" shrinkToFit="0" vertical="center" wrapText="1"/>
    </xf>
    <xf borderId="14" fillId="0" fontId="8" numFmtId="0" xfId="0" applyBorder="1" applyFont="1"/>
    <xf borderId="15" fillId="0" fontId="9" numFmtId="0" xfId="0" applyAlignment="1" applyBorder="1" applyFont="1">
      <alignment horizontal="left" shrinkToFit="0" vertical="center" wrapText="1"/>
    </xf>
    <xf borderId="16" fillId="4" fontId="9" numFmtId="0" xfId="0" applyAlignment="1" applyBorder="1" applyFont="1">
      <alignment horizontal="center" shrinkToFit="0" vertical="center" wrapText="1"/>
    </xf>
    <xf borderId="17" fillId="0" fontId="8" numFmtId="0" xfId="0" applyBorder="1" applyFont="1"/>
    <xf borderId="18" fillId="0" fontId="15" numFmtId="0" xfId="0" applyAlignment="1" applyBorder="1" applyFont="1">
      <alignment horizontal="center" vertical="center"/>
    </xf>
    <xf borderId="19" fillId="0" fontId="11" numFmtId="0" xfId="0" applyAlignment="1" applyBorder="1" applyFont="1">
      <alignment horizontal="center" vertical="center"/>
    </xf>
    <xf borderId="20" fillId="0" fontId="11" numFmtId="0" xfId="0" applyAlignment="1" applyBorder="1" applyFont="1">
      <alignment horizontal="center" vertical="center"/>
    </xf>
    <xf borderId="18" fillId="0" fontId="11" numFmtId="0" xfId="0" applyAlignment="1" applyBorder="1" applyFont="1">
      <alignment horizontal="center" vertical="center"/>
    </xf>
    <xf borderId="21" fillId="0" fontId="11" numFmtId="0" xfId="0" applyAlignment="1" applyBorder="1" applyFont="1">
      <alignment horizontal="center" vertical="center"/>
    </xf>
    <xf borderId="22" fillId="0" fontId="11" numFmtId="164" xfId="0" applyAlignment="1" applyBorder="1" applyFont="1" applyNumberFormat="1">
      <alignment horizontal="center" vertical="center"/>
    </xf>
    <xf borderId="0" fillId="0" fontId="16" numFmtId="0" xfId="0" applyFont="1"/>
    <xf borderId="21" fillId="0" fontId="11" numFmtId="164" xfId="0" applyAlignment="1" applyBorder="1" applyFont="1" applyNumberFormat="1">
      <alignment horizontal="center" vertical="center"/>
    </xf>
    <xf borderId="23" fillId="0" fontId="11" numFmtId="0" xfId="0" applyAlignment="1" applyBorder="1" applyFont="1">
      <alignment horizontal="center" vertical="center"/>
    </xf>
    <xf borderId="24" fillId="4" fontId="9" numFmtId="0" xfId="0" applyAlignment="1" applyBorder="1" applyFont="1">
      <alignment horizontal="center" shrinkToFit="0" vertical="center" wrapText="1"/>
    </xf>
    <xf borderId="25" fillId="0" fontId="8" numFmtId="0" xfId="0" applyBorder="1" applyFont="1"/>
    <xf borderId="26" fillId="0" fontId="11" numFmtId="164" xfId="0" applyAlignment="1" applyBorder="1" applyFont="1" applyNumberFormat="1">
      <alignment horizontal="center" vertical="center"/>
    </xf>
    <xf borderId="27" fillId="0" fontId="11" numFmtId="164" xfId="0" applyAlignment="1" applyBorder="1" applyFont="1" applyNumberFormat="1">
      <alignment horizontal="center" vertical="center"/>
    </xf>
    <xf borderId="28" fillId="0" fontId="8" numFmtId="0" xfId="0" applyBorder="1" applyFont="1"/>
    <xf borderId="29" fillId="0" fontId="8" numFmtId="0" xfId="0" applyBorder="1" applyFont="1"/>
    <xf borderId="30" fillId="0" fontId="11" numFmtId="0" xfId="0" applyAlignment="1" applyBorder="1" applyFont="1">
      <alignment horizontal="center" vertical="center"/>
    </xf>
    <xf borderId="31" fillId="0" fontId="12" numFmtId="4" xfId="0" applyAlignment="1" applyBorder="1" applyFont="1" applyNumberFormat="1">
      <alignment horizontal="center" vertical="center"/>
    </xf>
    <xf borderId="30" fillId="0" fontId="12" numFmtId="4" xfId="0" applyAlignment="1" applyBorder="1" applyFont="1" applyNumberFormat="1">
      <alignment horizontal="center" vertical="center"/>
    </xf>
    <xf borderId="32" fillId="0" fontId="8" numFmtId="0" xfId="0" applyBorder="1" applyFont="1"/>
    <xf borderId="33" fillId="0" fontId="8" numFmtId="0" xfId="0" applyBorder="1" applyFont="1"/>
    <xf borderId="18" fillId="0" fontId="17" numFmtId="0" xfId="0" applyAlignment="1" applyBorder="1" applyFont="1">
      <alignment shrinkToFit="0" wrapText="1"/>
    </xf>
    <xf borderId="34" fillId="0" fontId="11" numFmtId="0" xfId="0" applyAlignment="1" applyBorder="1" applyFont="1">
      <alignment horizontal="center" vertical="center"/>
    </xf>
    <xf borderId="35" fillId="0" fontId="11" numFmtId="0" xfId="0" applyAlignment="1" applyBorder="1" applyFont="1">
      <alignment horizontal="center" vertical="center"/>
    </xf>
    <xf borderId="0" fillId="0" fontId="18" numFmtId="165" xfId="0" applyAlignment="1" applyFont="1" applyNumberFormat="1">
      <alignment shrinkToFit="0" vertical="center" wrapText="1"/>
    </xf>
    <xf borderId="36" fillId="0" fontId="18" numFmtId="165" xfId="0" applyAlignment="1" applyBorder="1" applyFont="1" applyNumberFormat="1">
      <alignment shrinkToFit="0" vertical="center" wrapText="1"/>
    </xf>
    <xf borderId="37" fillId="0" fontId="19" numFmtId="165" xfId="0" applyAlignment="1" applyBorder="1" applyFont="1" applyNumberFormat="1">
      <alignment shrinkToFit="0" vertical="center" wrapText="1"/>
    </xf>
    <xf borderId="38" fillId="0" fontId="18" numFmtId="165" xfId="0" applyAlignment="1" applyBorder="1" applyFont="1" applyNumberFormat="1">
      <alignment shrinkToFit="0" vertical="center" wrapText="1"/>
    </xf>
    <xf borderId="39" fillId="0" fontId="19" numFmtId="165" xfId="0" applyAlignment="1" applyBorder="1" applyFont="1" applyNumberFormat="1">
      <alignment shrinkToFit="0" vertical="center" wrapText="1"/>
    </xf>
    <xf borderId="40" fillId="0" fontId="11" numFmtId="164" xfId="0" applyAlignment="1" applyBorder="1" applyFont="1" applyNumberFormat="1">
      <alignment horizontal="center" vertical="center"/>
    </xf>
    <xf borderId="40" fillId="0" fontId="11" numFmtId="2" xfId="0" applyAlignment="1" applyBorder="1" applyFont="1" applyNumberFormat="1">
      <alignment horizontal="center" vertical="center"/>
    </xf>
    <xf borderId="41" fillId="0" fontId="11" numFmtId="0" xfId="0" applyAlignment="1" applyBorder="1" applyFont="1">
      <alignment horizontal="center" vertical="center"/>
    </xf>
    <xf borderId="41" fillId="0" fontId="11" numFmtId="164" xfId="0" applyAlignment="1" applyBorder="1" applyFont="1" applyNumberFormat="1">
      <alignment horizontal="center" vertical="center"/>
    </xf>
    <xf borderId="42" fillId="0" fontId="11" numFmtId="0" xfId="0" applyAlignment="1" applyBorder="1" applyFont="1">
      <alignment horizontal="center" vertical="center"/>
    </xf>
    <xf borderId="42" fillId="0" fontId="12" numFmtId="4" xfId="0" applyAlignment="1" applyBorder="1" applyFont="1" applyNumberFormat="1">
      <alignment horizontal="center" vertical="center"/>
    </xf>
    <xf borderId="43" fillId="0" fontId="11" numFmtId="0" xfId="0" applyAlignment="1" applyBorder="1" applyFont="1">
      <alignment horizontal="center" vertical="center"/>
    </xf>
    <xf borderId="0" fillId="0" fontId="18" numFmtId="0" xfId="0" applyFont="1"/>
    <xf borderId="44" fillId="6" fontId="19" numFmtId="165" xfId="0" applyAlignment="1" applyBorder="1" applyFill="1" applyFont="1" applyNumberFormat="1">
      <alignment shrinkToFit="0" vertical="center" wrapText="1"/>
    </xf>
    <xf borderId="45" fillId="6" fontId="19" numFmtId="165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>
        <left style="thin">
          <color rgb="FFFFFF66"/>
        </left>
        <right style="thin">
          <color rgb="FFFFFF66"/>
        </right>
        <top style="thin">
          <color rgb="FFFFFF66"/>
        </top>
      </border>
    </dxf>
    <dxf>
      <font/>
      <fill>
        <patternFill patternType="none"/>
      </fill>
      <border>
        <left style="thin">
          <color rgb="FFFFFF66"/>
        </left>
        <right style="thin">
          <color rgb="FFFFFF66"/>
        </right>
      </border>
    </dxf>
    <dxf>
      <font/>
      <fill>
        <patternFill patternType="none"/>
      </fill>
      <border/>
    </dxf>
    <dxf>
      <font/>
      <fill>
        <patternFill patternType="solid">
          <fgColor rgb="FFF8F3FF"/>
          <bgColor rgb="FFF8F3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</dxfs>
  <tableStyles count="1">
    <tableStyle count="4" pivot="0" name="Precios -style">
      <tableStyleElement dxfId="3" type="headerRow"/>
      <tableStyleElement dxfId="4" type="firstRowStripe"/>
      <tableStyleElement dxfId="4" type="secondRowStripe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4</xdr:row>
      <xdr:rowOff>142875</xdr:rowOff>
    </xdr:from>
    <xdr:ext cx="8010525" cy="6124575"/>
    <xdr:sp>
      <xdr:nvSpPr>
        <xdr:cNvPr id="3" name="Shape 3"/>
        <xdr:cNvSpPr txBox="1"/>
      </xdr:nvSpPr>
      <xdr:spPr>
        <a:xfrm>
          <a:off x="1340738" y="722475"/>
          <a:ext cx="8010525" cy="61150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En la plantilla de excel de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 comparación de precios entre proveedores le permitirá saber que proveedor le da el mejor precio para cada producto que quiera comprar.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 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 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solidFill>
              <a:srgbClr val="59595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Para usarla,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 sigue estos pasos: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solidFill>
              <a:srgbClr val="59595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1. 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Complete el nombre de los proveedores en la fila 8.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solidFill>
              <a:srgbClr val="59595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2. 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Complete los productos a comparar en la columna B, la cantidad de cada uno de ellos en la columna C  y los precios a partir de la celda D9.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solidFill>
              <a:srgbClr val="59595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3. 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Opcional: Se pueden agregar datos adicionales que hacen a la decisión del proveedor: 	 	Cantidad de días de entrega</a:t>
          </a:r>
          <a:b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		Costo de envío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		Formas de pago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1" sz="1600" u="sng" strike="noStrike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1" sz="1600" u="sng" strike="noStrike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Resultados</a:t>
          </a:r>
          <a:endParaRPr b="0" i="0" sz="11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Se obtiene el precio más bajo, el promedio y el más alto en las columnas J, K y L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Se marcará en amarillo el proveedor que ofrece el precio más bajo total.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Aclaración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En el caso de que haya más de un proveedor con el precio más bajo se marcará en amarillo también.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76200</xdr:colOff>
      <xdr:row>0</xdr:row>
      <xdr:rowOff>104775</xdr:rowOff>
    </xdr:from>
    <xdr:ext cx="6610350" cy="752475"/>
    <xdr:sp>
      <xdr:nvSpPr>
        <xdr:cNvPr id="4" name="Shape 4"/>
        <xdr:cNvSpPr txBox="1"/>
      </xdr:nvSpPr>
      <xdr:spPr>
        <a:xfrm>
          <a:off x="2045588" y="3408525"/>
          <a:ext cx="6600825" cy="7429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Comparación de precios entre proveedores</a:t>
          </a:r>
          <a:endParaRPr sz="1400"/>
        </a:p>
      </xdr:txBody>
    </xdr:sp>
    <xdr:clientData fLocksWithSheet="0"/>
  </xdr:oneCellAnchor>
  <xdr:oneCellAnchor>
    <xdr:from>
      <xdr:col>9</xdr:col>
      <xdr:colOff>419100</xdr:colOff>
      <xdr:row>0</xdr:row>
      <xdr:rowOff>104775</xdr:rowOff>
    </xdr:from>
    <xdr:ext cx="2000250" cy="752475"/>
    <xdr:sp>
      <xdr:nvSpPr>
        <xdr:cNvPr id="5" name="Shape 5"/>
        <xdr:cNvSpPr txBox="1"/>
      </xdr:nvSpPr>
      <xdr:spPr>
        <a:xfrm>
          <a:off x="4350638" y="3408525"/>
          <a:ext cx="1990725" cy="7429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DCF8F0"/>
              </a:solidFill>
              <a:latin typeface="Arial Rounded"/>
              <a:ea typeface="Arial Rounded"/>
              <a:cs typeface="Arial Rounded"/>
              <a:sym typeface="Arial Rounded"/>
            </a:rPr>
            <a:t>Larause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7677150" cy="742950"/>
    <xdr:sp>
      <xdr:nvSpPr>
        <xdr:cNvPr id="6" name="Shape 6"/>
        <xdr:cNvSpPr txBox="1"/>
      </xdr:nvSpPr>
      <xdr:spPr>
        <a:xfrm>
          <a:off x="1512188" y="3413288"/>
          <a:ext cx="7667625" cy="7334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Comparación</a:t>
          </a:r>
          <a:r>
            <a:rPr b="1"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de precios entre proveedores</a:t>
          </a:r>
          <a:endParaRPr b="1" sz="2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8</xdr:col>
      <xdr:colOff>1104900</xdr:colOff>
      <xdr:row>1</xdr:row>
      <xdr:rowOff>142875</xdr:rowOff>
    </xdr:from>
    <xdr:ext cx="3009900" cy="466725"/>
    <xdr:sp>
      <xdr:nvSpPr>
        <xdr:cNvPr id="7" name="Shape 7"/>
        <xdr:cNvSpPr txBox="1"/>
      </xdr:nvSpPr>
      <xdr:spPr>
        <a:xfrm>
          <a:off x="3845813" y="3551400"/>
          <a:ext cx="3000375" cy="4572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8F3FF"/>
              </a:solidFill>
              <a:latin typeface="Arial Rounded"/>
              <a:ea typeface="Arial Rounded"/>
              <a:cs typeface="Arial Rounded"/>
              <a:sym typeface="Arial Rounded"/>
            </a:rPr>
            <a:t>Larause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B8:L21" displayName="Table_1" name="Table_1" id="1">
  <tableColumns count="11">
    <tableColumn totalsRowLabel="Total" name="PRODUCTO" id="1"/>
    <tableColumn name="CANTIDAD" id="2"/>
    <tableColumn totalsRowFunction="custom" name="Falabella" id="3"/>
    <tableColumn totalsRowFunction="custom" name="Alkosto" id="4"/>
    <tableColumn totalsRowFunction="custom" name="Mercado Libre" id="5"/>
    <tableColumn totalsRowFunction="custom" name="PROVEEDOR 4" id="6"/>
    <tableColumn totalsRowFunction="custom" name="PROVEEDOR 5" id="7"/>
    <tableColumn totalsRowFunction="custom" name="PROVEEDOR 6" id="8"/>
    <tableColumn name="PRECIO MÁS BAJO" id="9"/>
    <tableColumn name="PRECIO PROMEDIO" id="10"/>
    <tableColumn name="PRECIO MÁS ALTO" id="11"/>
  </tableColumns>
  <tableStyleInfo name="Precio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4.83"/>
    <col customWidth="1" min="2" max="11" width="22.0"/>
    <col customWidth="1" min="12" max="26" width="12.0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4.7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2.0" customHeight="1">
      <c r="A4" s="1"/>
      <c r="B4" s="3" t="s">
        <v>0</v>
      </c>
      <c r="C4" s="4"/>
      <c r="D4" s="4"/>
      <c r="E4" s="4"/>
      <c r="F4" s="4"/>
      <c r="G4" s="4"/>
      <c r="H4" s="4"/>
      <c r="I4" s="4"/>
      <c r="J4" s="4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4.0"/>
    <col customWidth="1" min="2" max="2" width="23.5"/>
    <col customWidth="1" min="3" max="3" width="31.5"/>
    <col customWidth="1" min="4" max="4" width="27.5"/>
    <col customWidth="1" min="5" max="5" width="23.33"/>
    <col customWidth="1" min="6" max="6" width="25.17"/>
    <col customWidth="1" min="7" max="7" width="32.5"/>
    <col customWidth="1" min="8" max="9" width="22.17"/>
    <col customWidth="1" min="10" max="10" width="27.33"/>
    <col customWidth="1" min="11" max="11" width="23.5"/>
    <col customWidth="1" min="12" max="12" width="24.83"/>
    <col customWidth="1" min="13" max="13" width="20.5"/>
    <col customWidth="1" min="14" max="14" width="20.67"/>
    <col customWidth="1" min="15" max="26" width="9.33"/>
  </cols>
  <sheetData>
    <row r="1" ht="15.0" customHeight="1">
      <c r="A1" s="5"/>
      <c r="B1" s="5"/>
      <c r="C1" s="5"/>
      <c r="D1" s="5"/>
      <c r="E1" s="5"/>
      <c r="F1" s="5"/>
      <c r="G1" s="5"/>
      <c r="H1" s="5"/>
      <c r="I1" s="5"/>
      <c r="J1" s="5"/>
      <c r="K1" s="6"/>
      <c r="L1" s="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4.75" customHeight="1">
      <c r="A2" s="5"/>
      <c r="B2" s="2"/>
      <c r="C2" s="2"/>
      <c r="D2" s="2"/>
      <c r="E2" s="2"/>
      <c r="F2" s="2"/>
      <c r="G2" s="2"/>
      <c r="H2" s="2"/>
      <c r="I2" s="7"/>
      <c r="J2" s="7"/>
      <c r="K2" s="7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6"/>
      <c r="L3" s="6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5"/>
      <c r="B4" s="5"/>
      <c r="C4" s="5"/>
      <c r="D4" s="5"/>
      <c r="E4" s="5"/>
      <c r="F4" s="5"/>
      <c r="G4" s="5"/>
      <c r="H4" s="5"/>
      <c r="I4" s="5"/>
      <c r="J4" s="5"/>
      <c r="K4" s="6"/>
      <c r="L4" s="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5"/>
      <c r="B5" s="3" t="s">
        <v>1</v>
      </c>
      <c r="C5" s="3"/>
      <c r="D5" s="5"/>
      <c r="E5" s="5"/>
      <c r="F5" s="5"/>
      <c r="G5" s="5"/>
      <c r="H5" s="5"/>
      <c r="I5" s="5"/>
      <c r="J5" s="5"/>
      <c r="K5" s="6"/>
      <c r="L5" s="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5"/>
      <c r="B6" s="8" t="s">
        <v>2</v>
      </c>
      <c r="C6" s="8"/>
      <c r="D6" s="3"/>
      <c r="E6" s="3"/>
      <c r="F6" s="3"/>
      <c r="G6" s="3"/>
      <c r="H6" s="3"/>
      <c r="I6" s="3"/>
      <c r="J6" s="9"/>
      <c r="K6" s="9"/>
      <c r="L6" s="9"/>
      <c r="M6" s="9"/>
      <c r="N6" s="9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75" customHeight="1">
      <c r="A7" s="5"/>
      <c r="B7" s="5"/>
      <c r="C7" s="5"/>
      <c r="D7" s="5"/>
      <c r="E7" s="5"/>
      <c r="F7" s="5"/>
      <c r="G7" s="5"/>
      <c r="H7" s="5"/>
      <c r="I7" s="5"/>
      <c r="J7" s="10" t="s">
        <v>3</v>
      </c>
      <c r="K7" s="11"/>
      <c r="L7" s="12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6.5" customHeight="1">
      <c r="A8" s="13"/>
      <c r="B8" s="14" t="s">
        <v>4</v>
      </c>
      <c r="C8" s="14" t="s">
        <v>5</v>
      </c>
      <c r="D8" s="15" t="s">
        <v>6</v>
      </c>
      <c r="E8" s="15" t="s">
        <v>7</v>
      </c>
      <c r="F8" s="15" t="s">
        <v>8</v>
      </c>
      <c r="G8" s="14" t="s">
        <v>9</v>
      </c>
      <c r="H8" s="14" t="s">
        <v>10</v>
      </c>
      <c r="I8" s="14" t="s">
        <v>11</v>
      </c>
      <c r="J8" s="16" t="s">
        <v>12</v>
      </c>
      <c r="K8" s="17" t="s">
        <v>13</v>
      </c>
      <c r="L8" s="18" t="s">
        <v>14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14.0" customHeight="1">
      <c r="A9" s="19"/>
      <c r="B9" s="20" t="s">
        <v>15</v>
      </c>
      <c r="C9" s="21">
        <v>4.0</v>
      </c>
      <c r="D9" s="22">
        <v>599000.0</v>
      </c>
      <c r="E9" s="23">
        <v>320000.0</v>
      </c>
      <c r="F9" s="23">
        <v>169480.0</v>
      </c>
      <c r="G9" s="24"/>
      <c r="H9" s="24"/>
      <c r="I9" s="25"/>
      <c r="J9" s="26">
        <f>MIN('Precios '!$D9:$I9)</f>
        <v>169480</v>
      </c>
      <c r="K9" s="27">
        <f>IFERROR(AVERAGE('Precios '!$D9:$I9),0)</f>
        <v>362826.6667</v>
      </c>
      <c r="L9" s="28">
        <f>MAX('Precios '!$D9:$I9)</f>
        <v>599000</v>
      </c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53.0" customHeight="1">
      <c r="A10" s="19"/>
      <c r="B10" s="29" t="s">
        <v>16</v>
      </c>
      <c r="C10" s="30">
        <v>8.0</v>
      </c>
      <c r="D10" s="31">
        <v>538485.0</v>
      </c>
      <c r="E10" s="31">
        <v>409990.0</v>
      </c>
      <c r="F10" s="31">
        <v>493900.0</v>
      </c>
      <c r="G10" s="32"/>
      <c r="H10" s="32"/>
      <c r="I10" s="32"/>
      <c r="J10" s="33">
        <f>MIN('Precios '!$D10:$I10)</f>
        <v>409990</v>
      </c>
      <c r="K10" s="27">
        <f>IFERROR(AVERAGE('Precios '!$D10:$I10),0)</f>
        <v>480791.6667</v>
      </c>
      <c r="L10" s="28">
        <f>MAX('Precios '!$D10:$I10)</f>
        <v>538485</v>
      </c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50.0" customHeight="1">
      <c r="A11" s="19"/>
      <c r="B11" s="34" t="s">
        <v>17</v>
      </c>
      <c r="C11" s="30">
        <v>4.0</v>
      </c>
      <c r="D11" s="31">
        <v>360905.0</v>
      </c>
      <c r="E11" s="31">
        <v>649900.0</v>
      </c>
      <c r="F11" s="31">
        <v>494300.0</v>
      </c>
      <c r="G11" s="32"/>
      <c r="H11" s="32"/>
      <c r="I11" s="32"/>
      <c r="J11" s="33">
        <f>MIN('Precios '!$D11:$I11)</f>
        <v>360905</v>
      </c>
      <c r="K11" s="27">
        <f>IFERROR(AVERAGE('Precios '!$D11:$I11),0)</f>
        <v>501701.6667</v>
      </c>
      <c r="L11" s="28">
        <f>MAX('Precios '!$D11:$I11)</f>
        <v>649900</v>
      </c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65.0" customHeight="1">
      <c r="A12" s="19"/>
      <c r="B12" s="29" t="s">
        <v>18</v>
      </c>
      <c r="C12" s="30">
        <v>4.0</v>
      </c>
      <c r="D12" s="31">
        <v>688000.0</v>
      </c>
      <c r="E12" s="31">
        <v>495000.0</v>
      </c>
      <c r="F12" s="31">
        <v>168900.0</v>
      </c>
      <c r="G12" s="32"/>
      <c r="H12" s="32"/>
      <c r="I12" s="32"/>
      <c r="J12" s="33">
        <f>MIN('Precios '!$D12:$I12)</f>
        <v>168900</v>
      </c>
      <c r="K12" s="27">
        <f>IFERROR(AVERAGE('Precios '!$D12:$I12),0)</f>
        <v>450633.3333</v>
      </c>
      <c r="L12" s="28">
        <f>MAX('Precios '!$D12:$I12)</f>
        <v>688000</v>
      </c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65.0" customHeight="1">
      <c r="A13" s="19"/>
      <c r="B13" s="29" t="s">
        <v>19</v>
      </c>
      <c r="C13" s="30">
        <v>4.0</v>
      </c>
      <c r="D13" s="31">
        <v>1199999.0</v>
      </c>
      <c r="E13" s="31">
        <v>1199999.0</v>
      </c>
      <c r="F13" s="31">
        <v>8400000.0</v>
      </c>
      <c r="G13" s="32"/>
      <c r="H13" s="32"/>
      <c r="I13" s="32"/>
      <c r="J13" s="33">
        <f>MIN('Precios '!$D13:$I13)</f>
        <v>1199999</v>
      </c>
      <c r="K13" s="27">
        <f>IFERROR(AVERAGE('Precios '!$D13:$I13),0)</f>
        <v>3599999.333</v>
      </c>
      <c r="L13" s="28">
        <f>MAX('Precios '!$D13:$I13)</f>
        <v>8400000</v>
      </c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65.0" customHeight="1">
      <c r="A14" s="19"/>
      <c r="B14" s="29" t="s">
        <v>20</v>
      </c>
      <c r="C14" s="30">
        <v>4.0</v>
      </c>
      <c r="D14" s="31">
        <v>260000.0</v>
      </c>
      <c r="E14" s="31">
        <v>180039.0</v>
      </c>
      <c r="F14" s="31">
        <v>474900.0</v>
      </c>
      <c r="G14" s="32"/>
      <c r="H14" s="32"/>
      <c r="I14" s="32"/>
      <c r="J14" s="33">
        <f>MIN('Precios '!$D14:$I14)</f>
        <v>180039</v>
      </c>
      <c r="K14" s="27">
        <f>IFERROR(AVERAGE('Precios '!$D14:$I14),0)</f>
        <v>304979.6667</v>
      </c>
      <c r="L14" s="28">
        <f>MAX('Precios '!$D14:$I14)</f>
        <v>474900</v>
      </c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65.0" customHeight="1">
      <c r="A15" s="19"/>
      <c r="B15" s="29" t="s">
        <v>21</v>
      </c>
      <c r="C15" s="30">
        <v>4.0</v>
      </c>
      <c r="D15" s="31">
        <v>219900.0</v>
      </c>
      <c r="E15" s="31">
        <v>59900.0</v>
      </c>
      <c r="F15" s="31">
        <v>84888.0</v>
      </c>
      <c r="G15" s="32"/>
      <c r="H15" s="32"/>
      <c r="I15" s="32"/>
      <c r="J15" s="33">
        <f>MIN('Precios '!$D15:$I15)</f>
        <v>59900</v>
      </c>
      <c r="K15" s="27">
        <f>IFERROR(AVERAGE('Precios '!$D15:$I15),0)</f>
        <v>121562.6667</v>
      </c>
      <c r="L15" s="28">
        <f>MAX('Precios '!$D15:$I15)</f>
        <v>219900</v>
      </c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65.0" customHeight="1">
      <c r="A16" s="19"/>
      <c r="B16" s="29" t="s">
        <v>22</v>
      </c>
      <c r="C16" s="30">
        <v>4.0</v>
      </c>
      <c r="D16" s="31">
        <v>145900.0</v>
      </c>
      <c r="E16" s="31">
        <v>89900.0</v>
      </c>
      <c r="F16" s="31">
        <v>145900.0</v>
      </c>
      <c r="G16" s="32"/>
      <c r="H16" s="32"/>
      <c r="I16" s="32"/>
      <c r="J16" s="33">
        <f>MIN('Precios '!$D16:$I16)</f>
        <v>89900</v>
      </c>
      <c r="K16" s="27">
        <f>IFERROR(AVERAGE('Precios '!$D16:$I16),0)</f>
        <v>127233.3333</v>
      </c>
      <c r="L16" s="28">
        <f>MAX('Precios '!$D16:$I16)</f>
        <v>145900</v>
      </c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65.0" customHeight="1">
      <c r="A17" s="19"/>
      <c r="B17" s="29" t="s">
        <v>23</v>
      </c>
      <c r="C17" s="30">
        <v>4.0</v>
      </c>
      <c r="D17" s="31">
        <v>890000.0</v>
      </c>
      <c r="E17" s="31">
        <v>460000.0</v>
      </c>
      <c r="F17" s="31">
        <v>640000.0</v>
      </c>
      <c r="G17" s="32"/>
      <c r="H17" s="32"/>
      <c r="I17" s="32"/>
      <c r="J17" s="33">
        <f>MIN('Precios '!$D17:$I17)</f>
        <v>460000</v>
      </c>
      <c r="K17" s="27">
        <f>IFERROR(AVERAGE('Precios '!$D17:$I17),0)</f>
        <v>663333.3333</v>
      </c>
      <c r="L17" s="28">
        <f>MAX('Precios '!$D17:$I17)</f>
        <v>890000</v>
      </c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65.0" customHeight="1">
      <c r="A18" s="19"/>
      <c r="B18" s="29" t="s">
        <v>24</v>
      </c>
      <c r="C18" s="30">
        <v>4.0</v>
      </c>
      <c r="D18" s="31">
        <v>778741.0</v>
      </c>
      <c r="E18" s="31">
        <v>778741.0</v>
      </c>
      <c r="F18" s="31">
        <v>5445000.0</v>
      </c>
      <c r="G18" s="32"/>
      <c r="H18" s="32"/>
      <c r="I18" s="32"/>
      <c r="J18" s="33">
        <f>MIN('Precios '!$D18:$I18)</f>
        <v>778741</v>
      </c>
      <c r="K18" s="27">
        <f>IFERROR(AVERAGE('Precios '!$D18:$I18),0)</f>
        <v>2334160.667</v>
      </c>
      <c r="L18" s="28">
        <f>MAX('Precios '!$D18:$I18)</f>
        <v>5445000</v>
      </c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65.0" customHeight="1">
      <c r="A19" s="19"/>
      <c r="B19" s="29" t="s">
        <v>25</v>
      </c>
      <c r="C19" s="30">
        <v>4.0</v>
      </c>
      <c r="D19" s="31">
        <v>1999990.0</v>
      </c>
      <c r="E19" s="31">
        <v>901000.0</v>
      </c>
      <c r="F19" s="31">
        <v>824990.0</v>
      </c>
      <c r="G19" s="32"/>
      <c r="H19" s="32"/>
      <c r="I19" s="32"/>
      <c r="J19" s="33">
        <f>MIN('Precios '!$D19:$I19)</f>
        <v>824990</v>
      </c>
      <c r="K19" s="27">
        <f>IFERROR(AVERAGE('Precios '!$D19:$I19),0)</f>
        <v>1241993.333</v>
      </c>
      <c r="L19" s="28">
        <f>MAX('Precios '!$D19:$I19)</f>
        <v>1999990</v>
      </c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65.0" customHeight="1">
      <c r="A20" s="19"/>
      <c r="B20" s="29" t="s">
        <v>26</v>
      </c>
      <c r="C20" s="30">
        <v>4.0</v>
      </c>
      <c r="D20" s="31">
        <v>1365000.0</v>
      </c>
      <c r="E20" s="31">
        <v>1293600.0</v>
      </c>
      <c r="F20" s="31">
        <v>3756303.0</v>
      </c>
      <c r="G20" s="32"/>
      <c r="H20" s="32"/>
      <c r="I20" s="32"/>
      <c r="J20" s="33">
        <f>MIN('Precios '!$D20:$I20)</f>
        <v>1293600</v>
      </c>
      <c r="K20" s="27">
        <f>IFERROR(AVERAGE('Precios '!$D20:$I20),0)</f>
        <v>2138301</v>
      </c>
      <c r="L20" s="28">
        <f>MAX('Precios '!$D20:$I20)</f>
        <v>3756303</v>
      </c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2.75" customHeight="1">
      <c r="A21" s="35"/>
      <c r="B21" s="36" t="s">
        <v>27</v>
      </c>
      <c r="C21" s="36"/>
      <c r="D21" s="37">
        <f>ROUND(SUMPRODUCT('Precios '!$C$9:$C$20,'Precios '!$D$9:$D$20),2)</f>
        <v>38337620</v>
      </c>
      <c r="E21" s="37">
        <f>ROUND(SUMPRODUCT('Precios '!$C$9:$C$20,'Precios '!$E$9:$E$20),2)</f>
        <v>28992236</v>
      </c>
      <c r="F21" s="37">
        <f>ROUND(SUMPRODUCT('Precios '!$C$9:$C$20,'Precios '!$F$9:$F$20),2)</f>
        <v>86369844</v>
      </c>
      <c r="G21" s="37">
        <f>ROUND(SUMPRODUCT('Precios '!$C$9:$C$20,'Precios '!$G$9:$G$20),2)</f>
        <v>0</v>
      </c>
      <c r="H21" s="37">
        <f>ROUND(SUMPRODUCT('Precios '!$C$9:$C$20,'Precios '!$H$9:$H$20),2)</f>
        <v>0</v>
      </c>
      <c r="I21" s="37">
        <f>ROUND(SUMPRODUCT('Precios '!$C$9:$C$20,'Precios '!$I$9:$I$20),2)</f>
        <v>0</v>
      </c>
      <c r="J21" s="38"/>
      <c r="K21" s="38"/>
      <c r="L21" s="39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2.75" customHeight="1">
      <c r="A22" s="35"/>
      <c r="B22" s="5"/>
      <c r="C22" s="5"/>
      <c r="D22" s="5"/>
      <c r="E22" s="5"/>
      <c r="F22" s="5"/>
      <c r="G22" s="5"/>
      <c r="H22" s="5"/>
      <c r="I22" s="5"/>
      <c r="J22" s="5"/>
      <c r="K22" s="6"/>
      <c r="L22" s="6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48.0" customHeight="1">
      <c r="A23" s="35"/>
      <c r="B23" s="5"/>
      <c r="C23" s="5"/>
      <c r="D23" s="5"/>
      <c r="E23" s="5"/>
      <c r="F23" s="5"/>
      <c r="G23" s="5"/>
      <c r="H23" s="5"/>
      <c r="I23" s="5"/>
      <c r="J23" s="5"/>
      <c r="K23" s="6"/>
      <c r="L23" s="6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33.0" customHeight="1">
      <c r="A24" s="35"/>
      <c r="B24" s="40" t="s">
        <v>28</v>
      </c>
      <c r="C24" s="41"/>
      <c r="D24" s="42"/>
      <c r="E24" s="42"/>
      <c r="F24" s="42"/>
      <c r="G24" s="42"/>
      <c r="H24" s="42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25.5" customHeight="1">
      <c r="A25" s="35"/>
      <c r="B25" s="43" t="s">
        <v>29</v>
      </c>
      <c r="C25" s="44"/>
      <c r="D25" s="45" t="s">
        <v>30</v>
      </c>
      <c r="E25" s="46" t="s">
        <v>31</v>
      </c>
      <c r="F25" s="47" t="s">
        <v>32</v>
      </c>
      <c r="G25" s="48" t="s">
        <v>33</v>
      </c>
      <c r="H25" s="46" t="s">
        <v>34</v>
      </c>
      <c r="I25" s="49" t="s">
        <v>35</v>
      </c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8.0" customHeight="1">
      <c r="A26" s="35"/>
      <c r="B26" s="43" t="s">
        <v>36</v>
      </c>
      <c r="C26" s="44"/>
      <c r="D26" s="50">
        <v>0.0</v>
      </c>
      <c r="E26" s="51" t="s">
        <v>37</v>
      </c>
      <c r="F26" s="52" t="s">
        <v>38</v>
      </c>
      <c r="G26" s="53">
        <v>0.0</v>
      </c>
      <c r="H26" s="52" t="s">
        <v>39</v>
      </c>
      <c r="I26" s="52">
        <v>0.0</v>
      </c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2.75" customHeight="1">
      <c r="A27" s="35"/>
      <c r="B27" s="54" t="s">
        <v>40</v>
      </c>
      <c r="C27" s="55"/>
      <c r="D27" s="56"/>
      <c r="E27" s="57"/>
      <c r="F27" s="57"/>
      <c r="G27" s="57"/>
      <c r="H27" s="57"/>
      <c r="I27" s="57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2.75" customHeight="1">
      <c r="A28" s="35"/>
      <c r="B28" s="58"/>
      <c r="C28" s="59"/>
      <c r="D28" s="60"/>
      <c r="E28" s="60"/>
      <c r="F28" s="60"/>
      <c r="G28" s="60"/>
      <c r="H28" s="60"/>
      <c r="I28" s="60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2.75" customHeight="1">
      <c r="A29" s="5"/>
      <c r="B29" s="58"/>
      <c r="C29" s="59"/>
      <c r="D29" s="61" t="s">
        <v>41</v>
      </c>
      <c r="E29" s="62" t="s">
        <v>41</v>
      </c>
      <c r="F29" s="62" t="s">
        <v>41</v>
      </c>
      <c r="G29" s="62" t="s">
        <v>41</v>
      </c>
      <c r="H29" s="62" t="s">
        <v>41</v>
      </c>
      <c r="I29" s="62" t="s">
        <v>41</v>
      </c>
      <c r="J29" s="35"/>
      <c r="K29" s="35"/>
      <c r="L29" s="3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63"/>
      <c r="C30" s="64"/>
      <c r="D30" s="65"/>
      <c r="E30" s="66"/>
      <c r="F30" s="67"/>
      <c r="G30" s="67"/>
      <c r="H30" s="67"/>
      <c r="I30" s="67"/>
      <c r="J30" s="3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6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6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5"/>
      <c r="C33" s="5"/>
      <c r="D33" s="68"/>
      <c r="E33" s="68"/>
      <c r="F33" s="69"/>
      <c r="G33" s="70"/>
      <c r="H33" s="71"/>
      <c r="I33" s="68"/>
      <c r="J33" s="6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5"/>
      <c r="C34" s="5"/>
      <c r="D34" s="68"/>
      <c r="E34" s="68"/>
      <c r="F34" s="69"/>
      <c r="G34" s="72"/>
      <c r="H34" s="71"/>
      <c r="I34" s="68"/>
      <c r="J34" s="5"/>
      <c r="K34" s="6"/>
      <c r="L34" s="6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/>
      <c r="C35" s="5"/>
      <c r="D35" s="68"/>
      <c r="E35" s="68"/>
      <c r="F35" s="69"/>
      <c r="G35" s="72"/>
      <c r="H35" s="71"/>
      <c r="I35" s="68"/>
      <c r="J35" s="5"/>
      <c r="K35" s="6"/>
      <c r="L35" s="6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68"/>
      <c r="E36" s="68"/>
      <c r="F36" s="69"/>
      <c r="G36" s="72"/>
      <c r="H36" s="71"/>
      <c r="I36" s="68"/>
      <c r="J36" s="5"/>
      <c r="K36" s="6"/>
      <c r="L36" s="6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68"/>
      <c r="E37" s="68"/>
      <c r="F37" s="69"/>
      <c r="G37" s="72"/>
      <c r="H37" s="71"/>
      <c r="I37" s="68"/>
      <c r="J37" s="5"/>
      <c r="K37" s="6"/>
      <c r="L37" s="6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68"/>
      <c r="E38" s="68"/>
      <c r="F38" s="69"/>
      <c r="G38" s="72"/>
      <c r="H38" s="71"/>
      <c r="I38" s="68"/>
      <c r="J38" s="5"/>
      <c r="K38" s="6"/>
      <c r="L38" s="6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6"/>
      <c r="L39" s="6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6"/>
      <c r="L40" s="6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6"/>
      <c r="L41" s="6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6"/>
      <c r="L42" s="6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6"/>
      <c r="L43" s="6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6"/>
      <c r="L44" s="6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6"/>
      <c r="L45" s="6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6"/>
      <c r="L46" s="6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6"/>
      <c r="L47" s="6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6"/>
      <c r="L48" s="6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6"/>
      <c r="L49" s="6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6"/>
      <c r="L50" s="6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6"/>
      <c r="L51" s="6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6"/>
      <c r="L52" s="6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6"/>
      <c r="L53" s="6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6"/>
      <c r="L54" s="6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6"/>
      <c r="L55" s="6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6"/>
      <c r="L56" s="6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6"/>
      <c r="L57" s="6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6"/>
      <c r="L58" s="6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6"/>
      <c r="L59" s="6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6"/>
      <c r="L60" s="6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6"/>
      <c r="L61" s="6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6"/>
      <c r="L62" s="6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6"/>
      <c r="L63" s="6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6"/>
      <c r="L64" s="6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6"/>
      <c r="L65" s="6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6"/>
      <c r="L66" s="6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6"/>
      <c r="L67" s="6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6"/>
      <c r="L68" s="6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6"/>
      <c r="L69" s="6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6"/>
      <c r="L70" s="6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6"/>
      <c r="L71" s="6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6"/>
      <c r="L72" s="6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6"/>
      <c r="L73" s="6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6"/>
      <c r="L74" s="6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6"/>
      <c r="L75" s="6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6"/>
      <c r="L76" s="6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6"/>
      <c r="L77" s="6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6"/>
      <c r="L78" s="6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6"/>
      <c r="L79" s="6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6"/>
      <c r="L80" s="6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6"/>
      <c r="L81" s="6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6"/>
      <c r="L82" s="6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6"/>
      <c r="L83" s="6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6"/>
      <c r="L84" s="6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6"/>
      <c r="L85" s="6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6"/>
      <c r="L86" s="6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6"/>
      <c r="L87" s="6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6"/>
      <c r="L88" s="6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6"/>
      <c r="L89" s="6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6"/>
      <c r="L90" s="6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6"/>
      <c r="L91" s="6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6"/>
      <c r="L92" s="6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6"/>
      <c r="L93" s="6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6"/>
      <c r="L94" s="6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6"/>
      <c r="L95" s="6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6"/>
      <c r="L96" s="6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6"/>
      <c r="L97" s="6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6"/>
      <c r="L98" s="6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6"/>
      <c r="L99" s="6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6"/>
      <c r="L100" s="6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6"/>
      <c r="L101" s="6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6"/>
      <c r="L102" s="6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6"/>
      <c r="L103" s="6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6"/>
      <c r="L104" s="6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6"/>
      <c r="L105" s="6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6"/>
      <c r="L106" s="6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6"/>
      <c r="L107" s="6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6"/>
      <c r="L108" s="6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6"/>
      <c r="L109" s="6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6"/>
      <c r="L110" s="6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6"/>
      <c r="L111" s="6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6"/>
      <c r="L112" s="6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6"/>
      <c r="L113" s="6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6"/>
      <c r="L114" s="6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6"/>
      <c r="L115" s="6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6"/>
      <c r="L116" s="6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6"/>
      <c r="L117" s="6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6"/>
      <c r="L118" s="6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6"/>
      <c r="L119" s="6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6"/>
      <c r="L120" s="6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6"/>
      <c r="L121" s="6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6"/>
      <c r="L122" s="6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6"/>
      <c r="L123" s="6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6"/>
      <c r="L124" s="6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6"/>
      <c r="L125" s="6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6"/>
      <c r="L126" s="6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6"/>
      <c r="L127" s="6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6"/>
      <c r="L128" s="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6"/>
      <c r="L129" s="6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6"/>
      <c r="L130" s="6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6"/>
      <c r="L131" s="6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6"/>
      <c r="L132" s="6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6"/>
      <c r="L133" s="6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6"/>
      <c r="L134" s="6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6"/>
      <c r="L135" s="6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6"/>
      <c r="L136" s="6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6"/>
      <c r="L137" s="6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6"/>
      <c r="L138" s="6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6"/>
      <c r="L139" s="6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6"/>
      <c r="L140" s="6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6"/>
      <c r="L141" s="6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6"/>
      <c r="L142" s="6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6"/>
      <c r="L143" s="6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6"/>
      <c r="L144" s="6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6"/>
      <c r="L145" s="6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6"/>
      <c r="L146" s="6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6"/>
      <c r="L147" s="6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6"/>
      <c r="L148" s="6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6"/>
      <c r="L149" s="6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6"/>
      <c r="L150" s="6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6"/>
      <c r="L151" s="6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6"/>
      <c r="L152" s="6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6"/>
      <c r="L153" s="6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6"/>
      <c r="L154" s="6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6"/>
      <c r="L155" s="6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6"/>
      <c r="L156" s="6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6"/>
      <c r="L157" s="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6"/>
      <c r="L158" s="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6"/>
      <c r="L159" s="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6"/>
      <c r="L160" s="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6"/>
      <c r="L161" s="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6"/>
      <c r="L162" s="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6"/>
      <c r="L163" s="6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6"/>
      <c r="L164" s="6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6"/>
      <c r="L165" s="6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6"/>
      <c r="L166" s="6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6"/>
      <c r="L167" s="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6"/>
      <c r="L168" s="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6"/>
      <c r="L169" s="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6"/>
      <c r="L170" s="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6"/>
      <c r="L171" s="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6"/>
      <c r="L172" s="6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6"/>
      <c r="L173" s="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6"/>
      <c r="L174" s="6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6"/>
      <c r="L175" s="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6"/>
      <c r="L176" s="6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6"/>
      <c r="L177" s="6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6"/>
      <c r="L178" s="6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6"/>
      <c r="L179" s="6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6"/>
      <c r="L180" s="6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6"/>
      <c r="L181" s="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6"/>
      <c r="L182" s="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6"/>
      <c r="L183" s="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6"/>
      <c r="L184" s="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6"/>
      <c r="L185" s="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6"/>
      <c r="L186" s="6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6"/>
      <c r="L187" s="6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6"/>
      <c r="L188" s="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6"/>
      <c r="L189" s="6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6"/>
      <c r="L190" s="6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6"/>
      <c r="L191" s="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6"/>
      <c r="L192" s="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6"/>
      <c r="L193" s="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6"/>
      <c r="L194" s="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6"/>
      <c r="L195" s="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6"/>
      <c r="L196" s="6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6"/>
      <c r="L197" s="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6"/>
      <c r="L198" s="6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6"/>
      <c r="L199" s="6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6"/>
      <c r="L200" s="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6"/>
      <c r="L201" s="6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6"/>
      <c r="L202" s="6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6"/>
      <c r="L203" s="6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6"/>
      <c r="L204" s="6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6"/>
      <c r="L205" s="6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6"/>
      <c r="L206" s="6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6"/>
      <c r="L207" s="6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6"/>
      <c r="L208" s="6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6"/>
      <c r="L209" s="6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6"/>
      <c r="L210" s="6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6"/>
      <c r="L211" s="6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6"/>
      <c r="L212" s="6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6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6"/>
      <c r="L214" s="6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6"/>
      <c r="L215" s="6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6"/>
      <c r="L216" s="6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6"/>
      <c r="L217" s="6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6"/>
      <c r="L218" s="6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6"/>
      <c r="L219" s="6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6"/>
      <c r="L220" s="6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6"/>
      <c r="L221" s="6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6"/>
      <c r="L222" s="6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6"/>
      <c r="L223" s="6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6"/>
      <c r="L224" s="6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6"/>
      <c r="L225" s="6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6"/>
      <c r="L226" s="6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6"/>
      <c r="L227" s="6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6"/>
      <c r="L228" s="6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6"/>
      <c r="L229" s="6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6"/>
      <c r="L230" s="6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6"/>
      <c r="L231" s="6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6"/>
      <c r="L232" s="6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6"/>
      <c r="L233" s="6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6"/>
      <c r="L234" s="6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6"/>
      <c r="L235" s="6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6"/>
      <c r="L236" s="6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6"/>
      <c r="L237" s="6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6"/>
      <c r="L238" s="6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6"/>
      <c r="L239" s="6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6"/>
      <c r="L240" s="6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6"/>
      <c r="L241" s="6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6"/>
      <c r="L242" s="6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6"/>
      <c r="L243" s="6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6"/>
      <c r="L244" s="6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6"/>
      <c r="L245" s="6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6"/>
      <c r="L246" s="6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6"/>
      <c r="L247" s="6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6"/>
      <c r="L248" s="6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6"/>
      <c r="L249" s="6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6"/>
      <c r="L250" s="6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6"/>
      <c r="L251" s="6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6"/>
      <c r="L252" s="6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6"/>
      <c r="L253" s="6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6"/>
      <c r="L254" s="6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6"/>
      <c r="L255" s="6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6"/>
      <c r="L256" s="6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6"/>
      <c r="L257" s="6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6"/>
      <c r="L258" s="6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6"/>
      <c r="L259" s="6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6"/>
      <c r="L260" s="6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6"/>
      <c r="L261" s="6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6"/>
      <c r="L262" s="6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6"/>
      <c r="L263" s="6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6"/>
      <c r="L264" s="6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6"/>
      <c r="L265" s="6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6"/>
      <c r="L266" s="6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6"/>
      <c r="L267" s="6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6"/>
      <c r="L268" s="6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6"/>
      <c r="L269" s="6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6"/>
      <c r="L270" s="6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6"/>
      <c r="L271" s="6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6"/>
      <c r="L272" s="6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6"/>
      <c r="L273" s="6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6"/>
      <c r="L274" s="6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6"/>
      <c r="L275" s="6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6"/>
      <c r="L276" s="6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6"/>
      <c r="L277" s="6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6"/>
      <c r="L278" s="6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6"/>
      <c r="L279" s="6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6"/>
      <c r="L280" s="6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6"/>
      <c r="L281" s="6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6"/>
      <c r="L282" s="6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6"/>
      <c r="L283" s="6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6"/>
      <c r="L284" s="6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6"/>
      <c r="L285" s="6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6"/>
      <c r="L286" s="6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6"/>
      <c r="L287" s="6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6"/>
      <c r="L288" s="6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6"/>
      <c r="L289" s="6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6"/>
      <c r="L290" s="6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6"/>
      <c r="L291" s="6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6"/>
      <c r="L292" s="6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6"/>
      <c r="L293" s="6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6"/>
      <c r="L294" s="6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6"/>
      <c r="L295" s="6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6"/>
      <c r="L296" s="6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6"/>
      <c r="L297" s="6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6"/>
      <c r="L298" s="6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6"/>
      <c r="L299" s="6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6"/>
      <c r="L300" s="6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6"/>
      <c r="L301" s="6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6"/>
      <c r="L302" s="6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6"/>
      <c r="L303" s="6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6"/>
      <c r="L304" s="6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6"/>
      <c r="L305" s="6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6"/>
      <c r="L306" s="6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6"/>
      <c r="L307" s="6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6"/>
      <c r="L308" s="6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6"/>
      <c r="L309" s="6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6"/>
      <c r="L310" s="6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6"/>
      <c r="L311" s="6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6"/>
      <c r="L312" s="6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6"/>
      <c r="L313" s="6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6"/>
      <c r="L314" s="6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6"/>
      <c r="L315" s="6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6"/>
      <c r="L316" s="6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6"/>
      <c r="L317" s="6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6"/>
      <c r="L318" s="6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6"/>
      <c r="L319" s="6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6"/>
      <c r="L320" s="6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6"/>
      <c r="L321" s="6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6"/>
      <c r="L322" s="6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6"/>
      <c r="L323" s="6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6"/>
      <c r="L324" s="6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6"/>
      <c r="L325" s="6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6"/>
      <c r="L326" s="6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6"/>
      <c r="L327" s="6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6"/>
      <c r="L328" s="6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6"/>
      <c r="L329" s="6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6"/>
      <c r="L330" s="6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6"/>
      <c r="L331" s="6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6"/>
      <c r="L332" s="6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6"/>
      <c r="L333" s="6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6"/>
      <c r="L334" s="6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6"/>
      <c r="L335" s="6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6"/>
      <c r="L336" s="6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6"/>
      <c r="L337" s="6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6"/>
      <c r="L338" s="6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6"/>
      <c r="L339" s="6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6"/>
      <c r="L340" s="6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6"/>
      <c r="L341" s="6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6"/>
      <c r="L342" s="6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6"/>
      <c r="L343" s="6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6"/>
      <c r="L344" s="6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6"/>
      <c r="L345" s="6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6"/>
      <c r="L346" s="6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6"/>
      <c r="L347" s="6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6"/>
      <c r="L348" s="6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6"/>
      <c r="L349" s="6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6"/>
      <c r="L350" s="6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6"/>
      <c r="L351" s="6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6"/>
      <c r="L352" s="6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6"/>
      <c r="L353" s="6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6"/>
      <c r="L354" s="6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6"/>
      <c r="L355" s="6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6"/>
      <c r="L356" s="6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6"/>
      <c r="L357" s="6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6"/>
      <c r="L358" s="6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6"/>
      <c r="L359" s="6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6"/>
      <c r="L360" s="6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6"/>
      <c r="L361" s="6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6"/>
      <c r="L362" s="6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6"/>
      <c r="L363" s="6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6"/>
      <c r="L364" s="6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6"/>
      <c r="L365" s="6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6"/>
      <c r="L366" s="6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6"/>
      <c r="L367" s="6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6"/>
      <c r="L368" s="6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6"/>
      <c r="L369" s="6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6"/>
      <c r="L370" s="6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6"/>
      <c r="L371" s="6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6"/>
      <c r="L372" s="6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6"/>
      <c r="L373" s="6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6"/>
      <c r="L374" s="6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6"/>
      <c r="L375" s="6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6"/>
      <c r="L376" s="6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6"/>
      <c r="L377" s="6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6"/>
      <c r="L378" s="6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6"/>
      <c r="L379" s="6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6"/>
      <c r="L380" s="6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6"/>
      <c r="L381" s="6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6"/>
      <c r="L382" s="6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6"/>
      <c r="L383" s="6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6"/>
      <c r="L384" s="6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6"/>
      <c r="L385" s="6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6"/>
      <c r="L386" s="6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6"/>
      <c r="L387" s="6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6"/>
      <c r="L388" s="6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6"/>
      <c r="L389" s="6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6"/>
      <c r="L390" s="6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6"/>
      <c r="L391" s="6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6"/>
      <c r="L392" s="6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6"/>
      <c r="L393" s="6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6"/>
      <c r="L394" s="6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6"/>
      <c r="L395" s="6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6"/>
      <c r="L396" s="6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6"/>
      <c r="L397" s="6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6"/>
      <c r="L398" s="6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6"/>
      <c r="L399" s="6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6"/>
      <c r="L400" s="6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6"/>
      <c r="L401" s="6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6"/>
      <c r="L402" s="6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6"/>
      <c r="L403" s="6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6"/>
      <c r="L404" s="6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6"/>
      <c r="L405" s="6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6"/>
      <c r="L406" s="6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6"/>
      <c r="L407" s="6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6"/>
      <c r="L408" s="6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6"/>
      <c r="L409" s="6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6"/>
      <c r="L410" s="6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6"/>
      <c r="L411" s="6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6"/>
      <c r="L412" s="6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6"/>
      <c r="L413" s="6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6"/>
      <c r="L414" s="6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6"/>
      <c r="L415" s="6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6"/>
      <c r="L416" s="6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6"/>
      <c r="L417" s="6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6"/>
      <c r="L418" s="6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6"/>
      <c r="L419" s="6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6"/>
      <c r="L420" s="6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6"/>
      <c r="L421" s="6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6"/>
      <c r="L422" s="6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6"/>
      <c r="L423" s="6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6"/>
      <c r="L424" s="6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6"/>
      <c r="L425" s="6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6"/>
      <c r="L426" s="6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6"/>
      <c r="L427" s="6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6"/>
      <c r="L428" s="6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6"/>
      <c r="L429" s="6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6"/>
      <c r="L430" s="6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6"/>
      <c r="L431" s="6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6"/>
      <c r="L432" s="6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6"/>
      <c r="L433" s="6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6"/>
      <c r="L434" s="6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6"/>
      <c r="L435" s="6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6"/>
      <c r="L436" s="6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6"/>
      <c r="L437" s="6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6"/>
      <c r="L438" s="6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6"/>
      <c r="L439" s="6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6"/>
      <c r="L440" s="6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6"/>
      <c r="L441" s="6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6"/>
      <c r="L442" s="6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6"/>
      <c r="L443" s="6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6"/>
      <c r="L444" s="6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6"/>
      <c r="L445" s="6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6"/>
      <c r="L446" s="6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6"/>
      <c r="L447" s="6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6"/>
      <c r="L448" s="6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6"/>
      <c r="L449" s="6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6"/>
      <c r="L450" s="6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6"/>
      <c r="L451" s="6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6"/>
      <c r="L452" s="6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6"/>
      <c r="L453" s="6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6"/>
      <c r="L454" s="6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6"/>
      <c r="L455" s="6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6"/>
      <c r="L456" s="6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6"/>
      <c r="L457" s="6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6"/>
      <c r="L458" s="6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6"/>
      <c r="L459" s="6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6"/>
      <c r="L460" s="6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6"/>
      <c r="L461" s="6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6"/>
      <c r="L462" s="6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6"/>
      <c r="L463" s="6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6"/>
      <c r="L464" s="6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6"/>
      <c r="L465" s="6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6"/>
      <c r="L466" s="6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6"/>
      <c r="L467" s="6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6"/>
      <c r="L468" s="6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6"/>
      <c r="L469" s="6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6"/>
      <c r="L470" s="6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6"/>
      <c r="L471" s="6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6"/>
      <c r="L472" s="6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6"/>
      <c r="L473" s="6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6"/>
      <c r="L474" s="6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6"/>
      <c r="L475" s="6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6"/>
      <c r="L476" s="6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6"/>
      <c r="L477" s="6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6"/>
      <c r="L478" s="6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6"/>
      <c r="L479" s="6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6"/>
      <c r="L480" s="6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6"/>
      <c r="L481" s="6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6"/>
      <c r="L482" s="6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6"/>
      <c r="L483" s="6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6"/>
      <c r="L484" s="6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6"/>
      <c r="L485" s="6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6"/>
      <c r="L486" s="6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6"/>
      <c r="L487" s="6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6"/>
      <c r="L488" s="6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6"/>
      <c r="L489" s="6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6"/>
      <c r="L490" s="6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6"/>
      <c r="L491" s="6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6"/>
      <c r="L492" s="6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6"/>
      <c r="L493" s="6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6"/>
      <c r="L494" s="6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6"/>
      <c r="L495" s="6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6"/>
      <c r="L496" s="6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6"/>
      <c r="L497" s="6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6"/>
      <c r="L498" s="6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6"/>
      <c r="L499" s="6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6"/>
      <c r="L500" s="6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6"/>
      <c r="L501" s="6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6"/>
      <c r="L502" s="6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6"/>
      <c r="L503" s="6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6"/>
      <c r="L504" s="6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6"/>
      <c r="L505" s="6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6"/>
      <c r="L506" s="6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6"/>
      <c r="L507" s="6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6"/>
      <c r="L508" s="6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6"/>
      <c r="L509" s="6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6"/>
      <c r="L510" s="6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6"/>
      <c r="L511" s="6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6"/>
      <c r="L512" s="6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6"/>
      <c r="L513" s="6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6"/>
      <c r="L514" s="6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6"/>
      <c r="L515" s="6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6"/>
      <c r="L516" s="6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6"/>
      <c r="L517" s="6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6"/>
      <c r="L518" s="6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6"/>
      <c r="L519" s="6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6"/>
      <c r="L520" s="6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6"/>
      <c r="L521" s="6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6"/>
      <c r="L522" s="6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6"/>
      <c r="L523" s="6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6"/>
      <c r="L524" s="6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6"/>
      <c r="L525" s="6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6"/>
      <c r="L526" s="6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6"/>
      <c r="L527" s="6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6"/>
      <c r="L528" s="6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6"/>
      <c r="L529" s="6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6"/>
      <c r="L530" s="6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6"/>
      <c r="L531" s="6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6"/>
      <c r="L532" s="6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6"/>
      <c r="L533" s="6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6"/>
      <c r="L534" s="6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6"/>
      <c r="L535" s="6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6"/>
      <c r="L536" s="6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6"/>
      <c r="L537" s="6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6"/>
      <c r="L538" s="6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6"/>
      <c r="L539" s="6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6"/>
      <c r="L540" s="6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6"/>
      <c r="L541" s="6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6"/>
      <c r="L542" s="6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6"/>
      <c r="L543" s="6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6"/>
      <c r="L544" s="6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6"/>
      <c r="L545" s="6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6"/>
      <c r="L546" s="6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6"/>
      <c r="L547" s="6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6"/>
      <c r="L548" s="6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6"/>
      <c r="L549" s="6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6"/>
      <c r="L550" s="6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6"/>
      <c r="L551" s="6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6"/>
      <c r="L552" s="6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6"/>
      <c r="L553" s="6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6"/>
      <c r="L554" s="6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6"/>
      <c r="L555" s="6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6"/>
      <c r="L556" s="6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6"/>
      <c r="L557" s="6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6"/>
      <c r="L558" s="6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6"/>
      <c r="L559" s="6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6"/>
      <c r="L560" s="6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6"/>
      <c r="L561" s="6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6"/>
      <c r="L562" s="6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6"/>
      <c r="L563" s="6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6"/>
      <c r="L564" s="6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6"/>
      <c r="L565" s="6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6"/>
      <c r="L566" s="6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6"/>
      <c r="L567" s="6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6"/>
      <c r="L568" s="6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6"/>
      <c r="L569" s="6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6"/>
      <c r="L570" s="6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6"/>
      <c r="L571" s="6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6"/>
      <c r="L572" s="6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6"/>
      <c r="L573" s="6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6"/>
      <c r="L574" s="6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6"/>
      <c r="L575" s="6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6"/>
      <c r="L576" s="6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6"/>
      <c r="L577" s="6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6"/>
      <c r="L578" s="6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6"/>
      <c r="L579" s="6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6"/>
      <c r="L580" s="6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6"/>
      <c r="L581" s="6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6"/>
      <c r="L582" s="6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6"/>
      <c r="L583" s="6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6"/>
      <c r="L584" s="6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6"/>
      <c r="L585" s="6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6"/>
      <c r="L586" s="6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6"/>
      <c r="L587" s="6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6"/>
      <c r="L588" s="6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6"/>
      <c r="L589" s="6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6"/>
      <c r="L590" s="6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6"/>
      <c r="L591" s="6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6"/>
      <c r="L592" s="6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6"/>
      <c r="L593" s="6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6"/>
      <c r="L594" s="6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6"/>
      <c r="L595" s="6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6"/>
      <c r="L596" s="6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6"/>
      <c r="L597" s="6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6"/>
      <c r="L598" s="6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6"/>
      <c r="L599" s="6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6"/>
      <c r="L600" s="6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6"/>
      <c r="L601" s="6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6"/>
      <c r="L602" s="6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6"/>
      <c r="L603" s="6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6"/>
      <c r="L604" s="6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6"/>
      <c r="L605" s="6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6"/>
      <c r="L606" s="6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6"/>
      <c r="L607" s="6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6"/>
      <c r="L608" s="6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6"/>
      <c r="L609" s="6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6"/>
      <c r="L610" s="6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6"/>
      <c r="L611" s="6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6"/>
      <c r="L612" s="6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6"/>
      <c r="L613" s="6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6"/>
      <c r="L614" s="6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6"/>
      <c r="L615" s="6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6"/>
      <c r="L616" s="6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6"/>
      <c r="L617" s="6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6"/>
      <c r="L618" s="6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6"/>
      <c r="L619" s="6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6"/>
      <c r="L620" s="6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6"/>
      <c r="L621" s="6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6"/>
      <c r="L622" s="6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6"/>
      <c r="L623" s="6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6"/>
      <c r="L624" s="6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6"/>
      <c r="L625" s="6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6"/>
      <c r="L626" s="6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6"/>
      <c r="L627" s="6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6"/>
      <c r="L628" s="6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6"/>
      <c r="L629" s="6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6"/>
      <c r="L630" s="6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6"/>
      <c r="L631" s="6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6"/>
      <c r="L632" s="6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6"/>
      <c r="L633" s="6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6"/>
      <c r="L634" s="6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6"/>
      <c r="L635" s="6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6"/>
      <c r="L636" s="6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6"/>
      <c r="L637" s="6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6"/>
      <c r="L638" s="6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6"/>
      <c r="L639" s="6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6"/>
      <c r="L640" s="6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6"/>
      <c r="L641" s="6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6"/>
      <c r="L642" s="6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6"/>
      <c r="L643" s="6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6"/>
      <c r="L644" s="6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6"/>
      <c r="L645" s="6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6"/>
      <c r="L646" s="6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6"/>
      <c r="L647" s="6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6"/>
      <c r="L648" s="6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6"/>
      <c r="L649" s="6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6"/>
      <c r="L650" s="6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6"/>
      <c r="L651" s="6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6"/>
      <c r="L652" s="6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6"/>
      <c r="L653" s="6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6"/>
      <c r="L654" s="6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6"/>
      <c r="L655" s="6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6"/>
      <c r="L656" s="6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6"/>
      <c r="L657" s="6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6"/>
      <c r="L658" s="6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6"/>
      <c r="L659" s="6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6"/>
      <c r="L660" s="6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6"/>
      <c r="L661" s="6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6"/>
      <c r="L662" s="6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6"/>
      <c r="L663" s="6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6"/>
      <c r="L664" s="6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6"/>
      <c r="L665" s="6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6"/>
      <c r="L666" s="6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6"/>
      <c r="L667" s="6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6"/>
      <c r="L668" s="6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6"/>
      <c r="L669" s="6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6"/>
      <c r="L670" s="6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6"/>
      <c r="L671" s="6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6"/>
      <c r="L672" s="6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6"/>
      <c r="L673" s="6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6"/>
      <c r="L674" s="6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6"/>
      <c r="L675" s="6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6"/>
      <c r="L676" s="6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6"/>
      <c r="L677" s="6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6"/>
      <c r="L678" s="6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6"/>
      <c r="L679" s="6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6"/>
      <c r="L680" s="6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6"/>
      <c r="L681" s="6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6"/>
      <c r="L682" s="6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6"/>
      <c r="L683" s="6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6"/>
      <c r="L684" s="6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6"/>
      <c r="L685" s="6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6"/>
      <c r="L686" s="6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6"/>
      <c r="L687" s="6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6"/>
      <c r="L688" s="6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6"/>
      <c r="L689" s="6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6"/>
      <c r="L690" s="6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6"/>
      <c r="L691" s="6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6"/>
      <c r="L692" s="6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6"/>
      <c r="L693" s="6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6"/>
      <c r="L694" s="6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6"/>
      <c r="L695" s="6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6"/>
      <c r="L696" s="6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6"/>
      <c r="L697" s="6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6"/>
      <c r="L698" s="6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6"/>
      <c r="L699" s="6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6"/>
      <c r="L700" s="6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6"/>
      <c r="L701" s="6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6"/>
      <c r="L702" s="6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6"/>
      <c r="L703" s="6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6"/>
      <c r="L704" s="6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6"/>
      <c r="L705" s="6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6"/>
      <c r="L706" s="6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6"/>
      <c r="L707" s="6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6"/>
      <c r="L708" s="6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6"/>
      <c r="L709" s="6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6"/>
      <c r="L710" s="6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6"/>
      <c r="L711" s="6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6"/>
      <c r="L712" s="6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6"/>
      <c r="L713" s="6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6"/>
      <c r="L714" s="6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6"/>
      <c r="L715" s="6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6"/>
      <c r="L716" s="6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6"/>
      <c r="L717" s="6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6"/>
      <c r="L718" s="6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6"/>
      <c r="L719" s="6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6"/>
      <c r="L720" s="6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6"/>
      <c r="L721" s="6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6"/>
      <c r="L722" s="6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6"/>
      <c r="L723" s="6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6"/>
      <c r="L724" s="6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6"/>
      <c r="L725" s="6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6"/>
      <c r="L726" s="6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6"/>
      <c r="L727" s="6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6"/>
      <c r="L728" s="6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6"/>
      <c r="L729" s="6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6"/>
      <c r="L730" s="6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6"/>
      <c r="L731" s="6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6"/>
      <c r="L732" s="6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6"/>
      <c r="L733" s="6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6"/>
      <c r="L734" s="6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6"/>
      <c r="L735" s="6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6"/>
      <c r="L736" s="6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6"/>
      <c r="L737" s="6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6"/>
      <c r="L738" s="6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6"/>
      <c r="L739" s="6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6"/>
      <c r="L740" s="6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6"/>
      <c r="L741" s="6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6"/>
      <c r="L742" s="6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6"/>
      <c r="L743" s="6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6"/>
      <c r="L744" s="6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6"/>
      <c r="L745" s="6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6"/>
      <c r="L746" s="6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6"/>
      <c r="L747" s="6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6"/>
      <c r="L748" s="6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6"/>
      <c r="L749" s="6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6"/>
      <c r="L750" s="6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6"/>
      <c r="L751" s="6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6"/>
      <c r="L752" s="6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6"/>
      <c r="L753" s="6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6"/>
      <c r="L754" s="6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6"/>
      <c r="L755" s="6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6"/>
      <c r="L756" s="6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6"/>
      <c r="L757" s="6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6"/>
      <c r="L758" s="6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6"/>
      <c r="L759" s="6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6"/>
      <c r="L760" s="6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6"/>
      <c r="L761" s="6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6"/>
      <c r="L762" s="6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6"/>
      <c r="L763" s="6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6"/>
      <c r="L764" s="6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6"/>
      <c r="L765" s="6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6"/>
      <c r="L766" s="6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6"/>
      <c r="L767" s="6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6"/>
      <c r="L768" s="6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6"/>
      <c r="L769" s="6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6"/>
      <c r="L770" s="6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6"/>
      <c r="L771" s="6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6"/>
      <c r="L772" s="6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6"/>
      <c r="L773" s="6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6"/>
      <c r="L774" s="6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6"/>
      <c r="L775" s="6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6"/>
      <c r="L776" s="6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6"/>
      <c r="L777" s="6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6"/>
      <c r="L778" s="6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6"/>
      <c r="L779" s="6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6"/>
      <c r="L780" s="6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6"/>
      <c r="L781" s="6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6"/>
      <c r="L782" s="6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6"/>
      <c r="L783" s="6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6"/>
      <c r="L784" s="6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6"/>
      <c r="L785" s="6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6"/>
      <c r="L786" s="6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6"/>
      <c r="L787" s="6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6"/>
      <c r="L788" s="6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6"/>
      <c r="L789" s="6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6"/>
      <c r="L790" s="6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6"/>
      <c r="L791" s="6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6"/>
      <c r="L792" s="6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6"/>
      <c r="L793" s="6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6"/>
      <c r="L794" s="6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6"/>
      <c r="L795" s="6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6"/>
      <c r="L796" s="6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6"/>
      <c r="L797" s="6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6"/>
      <c r="L798" s="6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6"/>
      <c r="L799" s="6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6"/>
      <c r="L800" s="6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6"/>
      <c r="L801" s="6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6"/>
      <c r="L802" s="6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6"/>
      <c r="L803" s="6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6"/>
      <c r="L804" s="6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6"/>
      <c r="L805" s="6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6"/>
      <c r="L806" s="6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6"/>
      <c r="L807" s="6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6"/>
      <c r="L808" s="6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6"/>
      <c r="L809" s="6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6"/>
      <c r="L810" s="6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6"/>
      <c r="L811" s="6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6"/>
      <c r="L812" s="6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6"/>
      <c r="L813" s="6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6"/>
      <c r="L814" s="6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6"/>
      <c r="L815" s="6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6"/>
      <c r="L816" s="6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6"/>
      <c r="L817" s="6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6"/>
      <c r="L818" s="6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6"/>
      <c r="L819" s="6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6"/>
      <c r="L820" s="6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6"/>
      <c r="L821" s="6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6"/>
      <c r="L822" s="6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6"/>
      <c r="L823" s="6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6"/>
      <c r="L824" s="6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6"/>
      <c r="L825" s="6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6"/>
      <c r="L826" s="6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6"/>
      <c r="L827" s="6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6"/>
      <c r="L828" s="6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6"/>
      <c r="L829" s="6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6"/>
      <c r="L830" s="6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6"/>
      <c r="L831" s="6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6"/>
      <c r="L832" s="6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6"/>
      <c r="L833" s="6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6"/>
      <c r="L834" s="6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6"/>
      <c r="L835" s="6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6"/>
      <c r="L836" s="6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6"/>
      <c r="L837" s="6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6"/>
      <c r="L838" s="6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6"/>
      <c r="L839" s="6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6"/>
      <c r="L840" s="6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6"/>
      <c r="L841" s="6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6"/>
      <c r="L842" s="6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6"/>
      <c r="L843" s="6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6"/>
      <c r="L844" s="6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6"/>
      <c r="L845" s="6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6"/>
      <c r="L846" s="6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6"/>
      <c r="L847" s="6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6"/>
      <c r="L848" s="6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6"/>
      <c r="L849" s="6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6"/>
      <c r="L850" s="6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6"/>
      <c r="L851" s="6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6"/>
      <c r="L852" s="6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6"/>
      <c r="L853" s="6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6"/>
      <c r="L854" s="6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6"/>
      <c r="L855" s="6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6"/>
      <c r="L856" s="6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6"/>
      <c r="L857" s="6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6"/>
      <c r="L858" s="6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6"/>
      <c r="L859" s="6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6"/>
      <c r="L860" s="6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6"/>
      <c r="L861" s="6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6"/>
      <c r="L862" s="6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6"/>
      <c r="L863" s="6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6"/>
      <c r="L864" s="6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6"/>
      <c r="L865" s="6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6"/>
      <c r="L866" s="6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6"/>
      <c r="L867" s="6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6"/>
      <c r="L868" s="6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6"/>
      <c r="L869" s="6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6"/>
      <c r="L870" s="6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6"/>
      <c r="L871" s="6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6"/>
      <c r="L872" s="6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6"/>
      <c r="L873" s="6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6"/>
      <c r="L874" s="6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6"/>
      <c r="L875" s="6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6"/>
      <c r="L876" s="6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6"/>
      <c r="L877" s="6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6"/>
      <c r="L878" s="6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6"/>
      <c r="L879" s="6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6"/>
      <c r="L880" s="6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6"/>
      <c r="L881" s="6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6"/>
      <c r="L882" s="6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6"/>
      <c r="L883" s="6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6"/>
      <c r="L884" s="6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6"/>
      <c r="L885" s="6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6"/>
      <c r="L886" s="6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6"/>
      <c r="L887" s="6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6"/>
      <c r="L888" s="6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6"/>
      <c r="L889" s="6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6"/>
      <c r="L890" s="6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6"/>
      <c r="L891" s="6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6"/>
      <c r="L892" s="6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6"/>
      <c r="L893" s="6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6"/>
      <c r="L894" s="6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6"/>
      <c r="L895" s="6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6"/>
      <c r="L896" s="6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6"/>
      <c r="L897" s="6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6"/>
      <c r="L898" s="6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6"/>
      <c r="L899" s="6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6"/>
      <c r="L900" s="6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6"/>
      <c r="L901" s="6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6"/>
      <c r="L902" s="6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6"/>
      <c r="L903" s="6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6"/>
      <c r="L904" s="6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6"/>
      <c r="L905" s="6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6"/>
      <c r="L906" s="6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6"/>
      <c r="L907" s="6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6"/>
      <c r="L908" s="6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6"/>
      <c r="L909" s="6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6"/>
      <c r="L910" s="6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6"/>
      <c r="L911" s="6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6"/>
      <c r="L912" s="6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6"/>
      <c r="L913" s="6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6"/>
      <c r="L914" s="6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6"/>
      <c r="L915" s="6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6"/>
      <c r="L916" s="6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6"/>
      <c r="L917" s="6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6"/>
      <c r="L918" s="6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6"/>
      <c r="L919" s="6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6"/>
      <c r="L920" s="6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6"/>
      <c r="L921" s="6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6"/>
      <c r="L922" s="6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6"/>
      <c r="L923" s="6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6"/>
      <c r="L924" s="6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6"/>
      <c r="L925" s="6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6"/>
      <c r="L926" s="6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6"/>
      <c r="L927" s="6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6"/>
      <c r="L928" s="6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6"/>
      <c r="L929" s="6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6"/>
      <c r="L930" s="6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6"/>
      <c r="L931" s="6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6"/>
      <c r="L932" s="6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6"/>
      <c r="L933" s="6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6"/>
      <c r="L934" s="6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6"/>
      <c r="L935" s="6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6"/>
      <c r="L936" s="6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6"/>
      <c r="L937" s="6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6"/>
      <c r="L938" s="6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6"/>
      <c r="L939" s="6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6"/>
      <c r="L940" s="6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6"/>
      <c r="L941" s="6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6"/>
      <c r="L942" s="6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6"/>
      <c r="L943" s="6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6"/>
      <c r="L944" s="6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6"/>
      <c r="L945" s="6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6"/>
      <c r="L946" s="6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6"/>
      <c r="L947" s="6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6"/>
      <c r="L948" s="6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6"/>
      <c r="L949" s="6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6"/>
      <c r="L950" s="6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6"/>
      <c r="L951" s="6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6"/>
      <c r="L952" s="6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6"/>
      <c r="L953" s="6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6"/>
      <c r="L954" s="6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6"/>
      <c r="L955" s="6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6"/>
      <c r="L956" s="6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6"/>
      <c r="L957" s="6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6"/>
      <c r="L958" s="6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6"/>
      <c r="L959" s="6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6"/>
      <c r="L960" s="6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6"/>
      <c r="L961" s="6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6"/>
      <c r="L962" s="6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6"/>
      <c r="L963" s="6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6"/>
      <c r="L964" s="6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6"/>
      <c r="L965" s="6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6"/>
      <c r="L966" s="6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6"/>
      <c r="L967" s="6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6"/>
      <c r="L968" s="6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6"/>
      <c r="L969" s="6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6"/>
      <c r="L970" s="6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6"/>
      <c r="L971" s="6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6"/>
      <c r="L972" s="6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6"/>
      <c r="L973" s="6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6"/>
      <c r="L974" s="6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6"/>
      <c r="L975" s="6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6"/>
      <c r="L976" s="6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6"/>
      <c r="L977" s="6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6"/>
      <c r="L978" s="6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6"/>
      <c r="L979" s="6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6"/>
      <c r="L980" s="6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6"/>
      <c r="L981" s="6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6"/>
      <c r="L982" s="6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6"/>
      <c r="L983" s="6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6"/>
      <c r="L984" s="6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6"/>
      <c r="L985" s="6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6"/>
      <c r="L986" s="6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6"/>
      <c r="L987" s="6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6"/>
      <c r="L988" s="6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6"/>
      <c r="L989" s="6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6"/>
      <c r="L990" s="6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6"/>
      <c r="L991" s="6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6"/>
      <c r="L992" s="6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6"/>
      <c r="L993" s="6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6"/>
      <c r="L994" s="6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6"/>
      <c r="L995" s="6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</sheetData>
  <mergeCells count="5">
    <mergeCell ref="J7:L7"/>
    <mergeCell ref="B24:C24"/>
    <mergeCell ref="B25:C25"/>
    <mergeCell ref="B26:C26"/>
    <mergeCell ref="B27:C30"/>
  </mergeCells>
  <conditionalFormatting sqref="B8 C8:C9 D21:I21">
    <cfRule type="expression" dxfId="0" priority="1">
      <formula>AND(B$21=MIN($D$21:$I$21),B$21&lt;&gt;0)</formula>
    </cfRule>
  </conditionalFormatting>
  <conditionalFormatting sqref="D8:I9">
    <cfRule type="expression" dxfId="0" priority="2">
      <formula>AND(D$21=MIN($D$21:$I$21),D$21&lt;&gt;0)</formula>
    </cfRule>
  </conditionalFormatting>
  <conditionalFormatting sqref="D9:I20">
    <cfRule type="expression" dxfId="1" priority="3">
      <formula>AND(D$21=MIN($D$21:$I$21),D$21&lt;&gt;0)</formula>
    </cfRule>
  </conditionalFormatting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2.0"/>
    <col customWidth="1" min="2" max="2" width="19.83"/>
    <col customWidth="1" min="3" max="3" width="12.0"/>
    <col customWidth="1" min="4" max="9" width="18.5"/>
    <col customWidth="1" min="10" max="26" width="12.0"/>
  </cols>
  <sheetData>
    <row r="1" ht="11.25" customHeight="1"/>
    <row r="2" ht="11.25" customHeight="1"/>
    <row r="3" ht="11.25" customHeight="1"/>
    <row r="4" ht="11.25" customHeight="1"/>
    <row r="5" ht="11.25" customHeight="1"/>
    <row r="6" ht="11.25" customHeight="1"/>
    <row r="7" ht="11.25" customHeight="1">
      <c r="B7" s="73" t="s">
        <v>42</v>
      </c>
      <c r="C7" s="74">
        <v>1.0</v>
      </c>
      <c r="D7" s="73">
        <v>498.0</v>
      </c>
      <c r="E7" s="73">
        <v>420.0</v>
      </c>
      <c r="F7" s="73">
        <v>450.0</v>
      </c>
      <c r="G7" s="73">
        <v>230.0</v>
      </c>
      <c r="H7" s="73">
        <v>600.0</v>
      </c>
      <c r="I7" s="73">
        <v>520.0</v>
      </c>
    </row>
    <row r="8" ht="11.25" customHeight="1">
      <c r="B8" s="73" t="s">
        <v>43</v>
      </c>
      <c r="C8" s="74">
        <v>2.0</v>
      </c>
      <c r="D8" s="73">
        <v>450.0</v>
      </c>
      <c r="E8" s="73">
        <v>220.0</v>
      </c>
      <c r="F8" s="73">
        <v>405.0</v>
      </c>
      <c r="G8" s="73">
        <v>495.0</v>
      </c>
      <c r="H8" s="73">
        <v>540.0</v>
      </c>
      <c r="I8" s="73">
        <v>200.0</v>
      </c>
    </row>
    <row r="9" ht="11.25" customHeight="1">
      <c r="B9" s="73" t="s">
        <v>44</v>
      </c>
      <c r="C9" s="74">
        <v>2.0</v>
      </c>
      <c r="D9" s="73">
        <v>650.0</v>
      </c>
      <c r="E9" s="73">
        <v>620.0</v>
      </c>
      <c r="F9" s="73">
        <v>666.0</v>
      </c>
      <c r="G9" s="73">
        <v>400.0</v>
      </c>
      <c r="H9" s="73">
        <v>648.0</v>
      </c>
      <c r="I9" s="73">
        <v>452.4</v>
      </c>
    </row>
    <row r="10" ht="11.25" customHeight="1">
      <c r="B10" s="73" t="s">
        <v>45</v>
      </c>
      <c r="C10" s="74">
        <v>1.0</v>
      </c>
      <c r="D10" s="73">
        <v>585.0</v>
      </c>
      <c r="E10" s="73">
        <v>558.0</v>
      </c>
      <c r="F10" s="73">
        <v>320.0</v>
      </c>
      <c r="G10" s="73">
        <v>360.0</v>
      </c>
      <c r="H10" s="73">
        <v>583.2</v>
      </c>
      <c r="I10" s="73">
        <v>407.16</v>
      </c>
    </row>
    <row r="11" ht="11.25" customHeight="1">
      <c r="B11" s="73" t="s">
        <v>46</v>
      </c>
      <c r="C11" s="74">
        <v>3.0</v>
      </c>
      <c r="D11" s="73">
        <v>526.5</v>
      </c>
      <c r="E11" s="73">
        <v>502.2</v>
      </c>
      <c r="F11" s="73">
        <v>539.46</v>
      </c>
      <c r="G11" s="73">
        <v>300.0</v>
      </c>
      <c r="H11" s="73">
        <v>500.0</v>
      </c>
      <c r="I11" s="73">
        <v>366.44</v>
      </c>
    </row>
    <row r="12" ht="11.25" customHeight="1">
      <c r="B12" s="73" t="s">
        <v>47</v>
      </c>
      <c r="C12" s="74">
        <v>1.0</v>
      </c>
      <c r="D12" s="73">
        <v>473.8</v>
      </c>
      <c r="E12" s="73">
        <v>200.0</v>
      </c>
      <c r="F12" s="73">
        <v>485.51</v>
      </c>
      <c r="G12" s="73">
        <v>291.6</v>
      </c>
      <c r="H12" s="73">
        <v>270.0</v>
      </c>
      <c r="I12" s="73">
        <v>220.0</v>
      </c>
    </row>
    <row r="13" ht="11.25" customHeight="1"/>
    <row r="14" ht="11.25" customHeight="1"/>
    <row r="15" ht="11.25" customHeight="1"/>
    <row r="16" ht="11.25" customHeight="1"/>
    <row r="17" ht="11.25" customHeight="1"/>
    <row r="18" ht="11.25" customHeight="1"/>
    <row r="19" ht="11.25" customHeight="1">
      <c r="D19" s="75">
        <v>30.0</v>
      </c>
      <c r="E19" s="49">
        <v>10.0</v>
      </c>
      <c r="F19" s="49">
        <v>15.0</v>
      </c>
      <c r="G19" s="49">
        <v>15.0</v>
      </c>
      <c r="H19" s="49">
        <v>15.0</v>
      </c>
      <c r="I19" s="49">
        <v>10.0</v>
      </c>
    </row>
    <row r="20" ht="11.25" customHeight="1">
      <c r="D20" s="76">
        <v>10.0</v>
      </c>
      <c r="E20" s="52">
        <v>10.0</v>
      </c>
      <c r="F20" s="52">
        <v>10.0</v>
      </c>
      <c r="G20" s="49" t="s">
        <v>48</v>
      </c>
      <c r="H20" s="52">
        <v>5.0</v>
      </c>
      <c r="I20" s="52" t="s">
        <v>48</v>
      </c>
    </row>
    <row r="21" ht="11.25" customHeight="1">
      <c r="D21" s="56" t="s">
        <v>49</v>
      </c>
      <c r="E21" s="57" t="s">
        <v>49</v>
      </c>
      <c r="F21" s="57" t="s">
        <v>50</v>
      </c>
      <c r="G21" s="57" t="s">
        <v>51</v>
      </c>
      <c r="H21" s="57" t="s">
        <v>50</v>
      </c>
      <c r="I21" s="57" t="s">
        <v>50</v>
      </c>
    </row>
    <row r="22" ht="11.25" customHeight="1">
      <c r="D22" s="60" t="s">
        <v>52</v>
      </c>
      <c r="E22" s="77" t="s">
        <v>52</v>
      </c>
      <c r="F22" s="77" t="s">
        <v>53</v>
      </c>
      <c r="G22" s="77" t="s">
        <v>50</v>
      </c>
      <c r="H22" s="77" t="s">
        <v>53</v>
      </c>
      <c r="I22" s="77" t="s">
        <v>53</v>
      </c>
    </row>
    <row r="23" ht="11.25" customHeight="1">
      <c r="D23" s="62"/>
      <c r="E23" s="78"/>
      <c r="F23" s="78"/>
      <c r="G23" s="78"/>
      <c r="H23" s="78"/>
      <c r="I23" s="78"/>
    </row>
    <row r="24" ht="11.25" customHeight="1">
      <c r="D24" s="79"/>
      <c r="E24" s="67"/>
      <c r="F24" s="67"/>
      <c r="G24" s="67"/>
      <c r="H24" s="67"/>
      <c r="I24" s="67"/>
    </row>
    <row r="25" ht="11.25" customHeight="1"/>
    <row r="26" ht="11.25" customHeight="1"/>
    <row r="27" ht="11.25" customHeight="1"/>
    <row r="28" ht="11.25" customHeight="1">
      <c r="B28" s="73" t="s">
        <v>54</v>
      </c>
      <c r="C28" s="74">
        <v>1.0</v>
      </c>
      <c r="D28" s="73">
        <v>340.0</v>
      </c>
      <c r="E28" s="73">
        <v>330.0</v>
      </c>
      <c r="F28" s="73">
        <v>440.0</v>
      </c>
      <c r="G28" s="73">
        <v>400.0</v>
      </c>
      <c r="H28" s="73">
        <v>320.0</v>
      </c>
      <c r="I28" s="73">
        <v>330.0</v>
      </c>
    </row>
    <row r="29" ht="11.25" customHeight="1">
      <c r="B29" s="73" t="s">
        <v>55</v>
      </c>
      <c r="C29" s="74">
        <v>1.0</v>
      </c>
      <c r="D29" s="73">
        <v>220.0</v>
      </c>
      <c r="E29" s="73">
        <v>230.0</v>
      </c>
      <c r="F29" s="73">
        <v>240.0</v>
      </c>
      <c r="G29" s="73">
        <v>220.0</v>
      </c>
      <c r="H29" s="73">
        <v>219.0</v>
      </c>
      <c r="I29" s="73">
        <v>218.0</v>
      </c>
    </row>
    <row r="30" ht="11.25" customHeight="1">
      <c r="B30" s="73" t="s">
        <v>56</v>
      </c>
      <c r="C30" s="74">
        <v>2.0</v>
      </c>
      <c r="D30" s="73">
        <v>560.0</v>
      </c>
      <c r="E30" s="73">
        <v>580.0</v>
      </c>
      <c r="F30" s="73">
        <v>550.0</v>
      </c>
      <c r="G30" s="73">
        <v>520.0</v>
      </c>
      <c r="H30" s="73">
        <v>551.0</v>
      </c>
      <c r="I30" s="73">
        <v>550.0</v>
      </c>
    </row>
    <row r="31" ht="11.25" customHeight="1"/>
    <row r="32" ht="11.25" customHeight="1"/>
    <row r="33" ht="11.25" customHeight="1"/>
    <row r="34" ht="11.25" customHeight="1"/>
    <row r="35" ht="11.25" customHeight="1">
      <c r="B35" s="80" t="s">
        <v>57</v>
      </c>
    </row>
    <row r="36" ht="11.25" customHeight="1">
      <c r="B36" s="81">
        <v>250.0</v>
      </c>
    </row>
    <row r="37" ht="11.25" customHeight="1">
      <c r="B37" s="82">
        <v>440.0</v>
      </c>
    </row>
    <row r="38" ht="11.25" customHeight="1">
      <c r="B38" s="82">
        <v>440.0</v>
      </c>
    </row>
    <row r="39" ht="11.25" customHeight="1">
      <c r="B39" s="82">
        <v>350.0</v>
      </c>
    </row>
    <row r="40" ht="11.25" customHeight="1">
      <c r="B40" s="82">
        <v>420.0</v>
      </c>
    </row>
    <row r="41" ht="11.25" customHeight="1">
      <c r="B41" s="82">
        <v>199.0</v>
      </c>
    </row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conditionalFormatting sqref="D7:I12 D28:I30">
    <cfRule type="expression" dxfId="1" priority="1">
      <formula>AND(D$15=MIN($D$15:$I$15),D$15&lt;&gt;0)</formula>
    </cfRule>
  </conditionalFormatting>
  <printOptions/>
  <pageMargins bottom="0.75" footer="0.0" header="0.0" left="0.7" right="0.7" top="0.75"/>
  <pageSetup orientation="landscape"/>
  <drawing r:id="rId1"/>
</worksheet>
</file>
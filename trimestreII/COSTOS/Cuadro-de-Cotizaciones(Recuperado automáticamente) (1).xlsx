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lacho\Downloads\"/>
    </mc:Choice>
  </mc:AlternateContent>
  <xr:revisionPtr revIDLastSave="0" documentId="13_ncr:1_{D08978D1-F599-40E6-930F-B17FA53CF604}" xr6:coauthVersionLast="47" xr6:coauthVersionMax="47" xr10:uidLastSave="{00000000-0000-0000-0000-000000000000}"/>
  <bookViews>
    <workbookView xWindow="-120" yWindow="-120" windowWidth="20730" windowHeight="11160" firstSheet="7" activeTab="11" xr2:uid="{00000000-000D-0000-FFFF-FFFF00000000}"/>
  </bookViews>
  <sheets>
    <sheet name="Torre admin" sheetId="1" r:id="rId1"/>
    <sheet name="Monitor Admin" sheetId="2" r:id="rId2"/>
    <sheet name="DiscoSolido Admin" sheetId="3" r:id="rId3"/>
    <sheet name="Disco duro interno Admin" sheetId="4" r:id="rId4"/>
    <sheet name="Servidor Admin" sheetId="5" r:id="rId5"/>
    <sheet name="ram Admin" sheetId="6" r:id="rId6"/>
    <sheet name="Teclado Admin" sheetId="7" r:id="rId7"/>
    <sheet name="Mause Admin" sheetId="8" r:id="rId8"/>
    <sheet name="software licencia" sheetId="18" r:id="rId9"/>
    <sheet name="licencia visual" sheetId="19" r:id="rId10"/>
    <sheet name="windows 11 licencia" sheetId="20" r:id="rId11"/>
    <sheet name="licencia SQL" sheetId="21"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8" i="19" l="1"/>
  <c r="D9" i="19"/>
  <c r="D9" i="20"/>
  <c r="G8" i="2"/>
  <c r="H9" i="21"/>
  <c r="H10" i="21"/>
  <c r="G9" i="21"/>
  <c r="G10" i="21"/>
  <c r="F8" i="21"/>
  <c r="G8" i="21" s="1"/>
  <c r="H8" i="21" s="1"/>
  <c r="H9" i="19"/>
  <c r="H10" i="19"/>
  <c r="H8" i="19"/>
  <c r="H9" i="18"/>
  <c r="H10" i="18"/>
  <c r="H8" i="18"/>
  <c r="H10" i="8"/>
  <c r="H8" i="8"/>
  <c r="H9" i="7"/>
  <c r="H8" i="7"/>
  <c r="H9" i="6"/>
  <c r="H9" i="5"/>
  <c r="H10" i="5"/>
  <c r="H8" i="5"/>
  <c r="H8" i="2"/>
  <c r="F8" i="20"/>
  <c r="G8" i="20" s="1"/>
  <c r="H8" i="20" s="1"/>
  <c r="F9" i="20"/>
  <c r="G9" i="20" s="1"/>
  <c r="H9" i="20" s="1"/>
  <c r="F10" i="20"/>
  <c r="G10" i="20" s="1"/>
  <c r="H10" i="20" s="1"/>
  <c r="F9" i="19"/>
  <c r="G8" i="19"/>
  <c r="G9" i="19"/>
  <c r="F10" i="19"/>
  <c r="G10" i="19"/>
  <c r="F9" i="21"/>
  <c r="F10" i="21"/>
  <c r="F9" i="18"/>
  <c r="G9" i="18"/>
  <c r="F10" i="18"/>
  <c r="G10" i="18"/>
  <c r="F8" i="18"/>
  <c r="G8" i="18"/>
  <c r="F9" i="8"/>
  <c r="G9" i="8"/>
  <c r="H9" i="8" s="1"/>
  <c r="F10" i="8"/>
  <c r="G10" i="8"/>
  <c r="F8" i="8"/>
  <c r="G8" i="8"/>
  <c r="F10" i="7"/>
  <c r="G10" i="7" s="1"/>
  <c r="H10" i="7" s="1"/>
  <c r="F9" i="7"/>
  <c r="G9" i="7"/>
  <c r="F8" i="7"/>
  <c r="G8" i="7"/>
  <c r="F9" i="6"/>
  <c r="G9" i="6"/>
  <c r="F10" i="6"/>
  <c r="G10" i="6"/>
  <c r="H10" i="6" s="1"/>
  <c r="F8" i="6"/>
  <c r="G8" i="6"/>
  <c r="H8" i="6" s="1"/>
  <c r="F9" i="5"/>
  <c r="G9" i="5"/>
  <c r="F10" i="5"/>
  <c r="G10" i="5"/>
  <c r="F8" i="5"/>
  <c r="G8" i="5"/>
  <c r="F9" i="4"/>
  <c r="G9" i="4" s="1"/>
  <c r="H9" i="4" s="1"/>
  <c r="F10" i="4"/>
  <c r="G10" i="4" s="1"/>
  <c r="H10" i="4" s="1"/>
  <c r="F8" i="4"/>
  <c r="G8" i="4"/>
  <c r="H8" i="4" s="1"/>
  <c r="G9" i="3"/>
  <c r="H9" i="3" s="1"/>
  <c r="G10" i="3"/>
  <c r="H10" i="3" s="1"/>
  <c r="G8" i="3"/>
  <c r="H8" i="3" s="1"/>
  <c r="G10" i="2"/>
  <c r="H10" i="2" s="1"/>
  <c r="G9" i="2"/>
  <c r="H9" i="2" s="1"/>
  <c r="G9" i="1"/>
  <c r="H9" i="1" s="1"/>
  <c r="G10" i="1"/>
  <c r="H10" i="1" s="1"/>
  <c r="G8" i="1"/>
  <c r="H8" i="1" s="1"/>
  <c r="G11" i="18"/>
</calcChain>
</file>

<file path=xl/sharedStrings.xml><?xml version="1.0" encoding="utf-8"?>
<sst xmlns="http://schemas.openxmlformats.org/spreadsheetml/2006/main" count="381" uniqueCount="150">
  <si>
    <t>CUADRO DE COTIZACIONES</t>
  </si>
  <si>
    <t xml:space="preserve">Cuadro Comparativo de Cotizaciones </t>
  </si>
  <si>
    <t xml:space="preserve">Presupuestos (a)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</si>
  <si>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</si>
  <si>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</si>
  <si>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</si>
  <si>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</si>
  <si>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</si>
  <si>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</si>
  <si>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t>Tipo de cambio</t>
  </si>
  <si>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</si>
  <si>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</si>
  <si>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Nº 1</t>
  </si>
  <si>
    <t xml:space="preserve">MERCADO LIBRE </t>
  </si>
  <si>
    <t>CONTADO</t>
  </si>
  <si>
    <t xml:space="preserve">Nº2 </t>
  </si>
  <si>
    <t>https://www.pcware.com.co/xpg-starker-atx-1-fan-cooler-argb-vidrio-templado-x1-1-fan-cooler-standard-fuente-de-poder-xpg-probe-600-watts-certificada-80-plus-bronze-negro-by-adata</t>
  </si>
  <si>
    <t>En PcWare encuentras de forma fácil un gran catálogo el componente o partes de pc al mejor precio</t>
  </si>
  <si>
    <t>Nº 3</t>
  </si>
  <si>
    <t>Computador gamer de escritorio</t>
  </si>
  <si>
    <r>
      <t xml:space="preserve">(a) Se deben presentar tres (3) presupuestos cuando:   
   </t>
    </r>
    <r>
      <rPr>
        <sz val="10"/>
        <color theme="1"/>
        <rFont val="Arial"/>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</si>
  <si>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</si>
  <si>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t>Empresa</t>
    </r>
    <r>
      <rPr>
        <i/>
        <sz val="10"/>
        <color theme="1"/>
        <rFont val="Arial"/>
        <family val="2"/>
        <scheme val="major"/>
      </rPr>
      <t xml:space="preserve">
(Nombre fiscal de la empresa)</t>
    </r>
  </si>
  <si>
    <r>
      <t>Nº de CUIT, Dirección, Teléfono</t>
    </r>
    <r>
      <rPr>
        <i/>
        <sz val="10"/>
        <color theme="1"/>
        <rFont val="Arial"/>
        <family val="2"/>
        <scheme val="major"/>
      </rPr>
      <t xml:space="preserve">
(Datos de la empresa)</t>
    </r>
  </si>
  <si>
    <r>
      <t>Descripción del
bien/ servicio (b)</t>
    </r>
    <r>
      <rPr>
        <i/>
        <sz val="10"/>
        <color theme="1"/>
        <rFont val="Arial"/>
        <family val="2"/>
        <scheme val="major"/>
      </rPr>
      <t xml:space="preserve">
Características de los bienes/ servicios</t>
    </r>
  </si>
  <si>
    <r>
      <t xml:space="preserve">Importe Unitario
</t>
    </r>
    <r>
      <rPr>
        <i/>
        <sz val="10"/>
        <color theme="1"/>
        <rFont val="Arial"/>
        <family val="2"/>
        <scheme val="major"/>
      </rPr>
      <t>(moneda nacional)</t>
    </r>
  </si>
  <si>
    <r>
      <t xml:space="preserve">Importe Total
 IVA incluido
</t>
    </r>
    <r>
      <rPr>
        <i/>
        <u/>
        <sz val="10"/>
        <color theme="1"/>
        <rFont val="Arial"/>
        <family val="2"/>
        <scheme val="major"/>
      </rPr>
      <t>(moneda nacional)</t>
    </r>
  </si>
  <si>
    <r>
      <t xml:space="preserve">Importe Total
</t>
    </r>
    <r>
      <rPr>
        <i/>
        <sz val="10"/>
        <color theme="1"/>
        <rFont val="Arial"/>
        <family val="2"/>
        <scheme val="major"/>
      </rPr>
      <t>(moneda extranjera)</t>
    </r>
  </si>
  <si>
    <r>
      <t xml:space="preserve">Forma de Pago 
</t>
    </r>
    <r>
      <rPr>
        <i/>
        <sz val="10"/>
        <color theme="1"/>
        <rFont val="Arial"/>
        <family val="2"/>
        <scheme val="major"/>
      </rPr>
      <t>(Contado o Cheque)</t>
    </r>
  </si>
  <si>
    <r>
      <t xml:space="preserve">Observaciones </t>
    </r>
    <r>
      <rPr>
        <i/>
        <sz val="10"/>
        <color theme="1"/>
        <rFont val="Arial"/>
        <family val="2"/>
        <scheme val="major"/>
      </rPr>
      <t xml:space="preserve">
(se debe incluir toda aquella característica que no ha sido posible incluir anteriormente)</t>
    </r>
  </si>
  <si>
    <t>Mercado libre</t>
  </si>
  <si>
    <t>https://www.mercadolibre.com.co/monitor-curvo-27-fhd-diseno-sin-bordes-color-black-100v240v/p/MCO17431651?pdp_filters=category%3AMCO1656&amp;quantity=3</t>
  </si>
  <si>
    <t>https://www.alkosto.com/monitor-samsung-gamer-24-pulgadas-g320nl-plano-negro/p/8806094113846</t>
  </si>
  <si>
    <t>Pantalla FHD, Gran nitidez, calidad de imagen y contraste</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</si>
  <si>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</si>
  <si>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Trebuchet MS"/>
      </rPr>
      <t xml:space="preserve">Importe Unitario
</t>
    </r>
    <r>
      <rPr>
        <i/>
        <sz val="8"/>
        <color theme="1"/>
        <rFont val="Trebuchet MS"/>
      </rPr>
      <t>(moneda nacional)</t>
    </r>
  </si>
  <si>
    <t xml:space="preserve">CONTADO </t>
  </si>
  <si>
    <t xml:space="preserve">FALABELLA </t>
  </si>
  <si>
    <t xml:space="preserve">Mercado libre </t>
  </si>
  <si>
    <t>https://articulo.mercadolibre.com.co/MCO-1294185577-poweredge-t150-tower-server-intel-xeon-e-2336g16gb2tb-_JM#position=8&amp;search_layout=stack&amp;type=item&amp;tracking_id=6ce23d24-4588-4653-bb99-db7e1509e5aa</t>
  </si>
  <si>
    <t>Poweredge T150 - Tower Server/ Intel Xeon E-2336g/16gb/2tb</t>
  </si>
  <si>
    <t>Un procesador Intel® Xeon® serie E-2336 con hasta 8 núcleos por procesador</t>
  </si>
  <si>
    <t>https://articulo.mercadolibre.com.co/MCO-1318522727-servidor-hp-proliant-ml310e-gen8-v2-r16gb-ssd480-xeon-31ghz-_JM#position=4&amp;search_layout=stack&amp;type=item&amp;tracking_id=aa17d476-2270-48e4-afc3-371dfada513d</t>
  </si>
  <si>
    <t>Servidor Hp Proliant Ml310e Gen8 V2 R16gb Ssd480 Xeon 3.1ghz</t>
  </si>
  <si>
    <t>ProLiant ML310e Gen8 v2</t>
  </si>
  <si>
    <t>Servidor Rack Marca Siara Intel Xeon E3 1260l 16gb 1tb</t>
  </si>
  <si>
    <t>MEMORIA RAM DDR4 16G 3200 CORSAIR VENGEANCE RGB RS</t>
  </si>
  <si>
    <t>La memoria DDR4 CORSAIR VENGEANCE RGB RS realza la estética de su PC gracias a su iluminación RGB dinámica y direccionable individualmente</t>
  </si>
  <si>
    <t>Mercado Libre</t>
  </si>
  <si>
    <t>https://listado.mercadolibre.com.co/memoria-ddr4-16gb</t>
  </si>
  <si>
    <t>Memoria RAM Premier color verde 16GB 1 Adata AD4S320016G22-SGN</t>
  </si>
  <si>
    <t>Cuenta con una tasa de transferencia de 25600 MB/s.</t>
  </si>
  <si>
    <t>Crucial Laptop DDR4 3200 MHz SODIMM Memory Module</t>
  </si>
  <si>
    <t>Velocidad de reloj de 3200 MHz.</t>
  </si>
  <si>
    <t>https://www.falabella.com.co/falabella-co/product/130536287/Combo-Dell-Wireless-Km3322w-Teclado-+-Mouse/130536288</t>
  </si>
  <si>
    <t>Combo Dell Wireless Km3322w Teclado + Mouse</t>
  </si>
  <si>
    <t>Sensor de alta precisión</t>
  </si>
  <si>
    <t>ALKOSTO</t>
  </si>
  <si>
    <t>https://www.alkosto.com/teclado-hp-alambrico-150-basic-negro/p/196548244195</t>
  </si>
  <si>
    <t>Teclado HP Alámbrico 150 Basic Negro</t>
  </si>
  <si>
    <t>Teclado con cable HP 150. Este perfecto compañero plug-and-play es un teclado cómodo con todo lo que necesitas para donde sea que lo lleves</t>
  </si>
  <si>
    <t>Calle 12 # 34 - 30, Bogotá D.C.</t>
  </si>
  <si>
    <r>
      <rPr>
        <b/>
        <sz val="10"/>
        <color theme="1"/>
        <rFont val="Arial"/>
      </rPr>
      <t xml:space="preserve">Importe Total
</t>
    </r>
    <r>
      <rPr>
        <b/>
        <i/>
        <sz val="8"/>
        <color theme="1"/>
        <rFont val="Arial"/>
      </rPr>
      <t>(moneda extranjera)</t>
    </r>
  </si>
  <si>
    <t>https://www.mercadolibre.com.co/mouse-gamer-vertical-inalambrico-recargable-weibo-wb-881-negro/p/MCO16051104?pdp_filters=item_id:MCO2027339616#is_advertising=true&amp;searchVariation=MCO16051104&amp;position=1&amp;search_layout=stack&amp;type=pad&amp;tracking_id=ced31c77-b65c-4671-a8f1-61f3edab0f16&amp;is_advertising=true&amp;ad_domain=VQCATCORE_LST&amp;ad_position=1&amp;ad_click_id=MWZjOWY3ZTgtZjgwNS00MmEzLTk2M2ItNGJiMDNhMjg1NDIy</t>
  </si>
  <si>
    <t>Mouse gamer vertical inalámbrico recargable Weibo WB-881 negro</t>
  </si>
  <si>
    <t>Posee rueda de desplazamiento.</t>
  </si>
  <si>
    <t>Ratón de computadora para navegar fácilmente por una interfaz de computadora; haga clic, desplazarse y más</t>
  </si>
  <si>
    <t>Mouse LOGITECH G Inalámbrico Gaming G305 Lila</t>
  </si>
  <si>
    <t>G305 puede guardar en la memoria integrada hasta 5 perfiles con hasta 5 niveles de dpi cada uno.</t>
  </si>
  <si>
    <t xml:space="preserve">SYSTORE COLOMBIA </t>
  </si>
  <si>
    <t>https://systorecolombia.com/59-windows</t>
  </si>
  <si>
    <t>MICROSOFT WINDOWS 10 PROFESIONAL A 64 BITS OEM FQC-08981</t>
  </si>
  <si>
    <t>Windows 10 es un sistema operativo de computadora personal desarrollado y lanzado por Microsoft como parte de la familia de sistemas operativos Windows NT</t>
  </si>
  <si>
    <t>https://systorecolombia.com/windows/942-microsoft-windows-11-profesional-ggk-kit-de-legalizacion-64-bits-oem-4yr-00229.html</t>
  </si>
  <si>
    <t>Microsoft Windows 11 Profesional GGK Kit de Legalización 64 Bits Oem 4YR-00229</t>
  </si>
  <si>
    <t>Licencia para equipo usado, no transferible, muere con la maquina, incluye DVD de instalación</t>
  </si>
  <si>
    <t>https://systorecolombia.com/windows/643-microsoft-windows-10-profesional-a-64-bits-usb-transferible-fqc-08788.html</t>
  </si>
  <si>
    <t>Microsoft Windows 10 Profesional a 64 Bits Usb Transferible Fqc-08788</t>
  </si>
  <si>
    <t>Keys express</t>
  </si>
  <si>
    <t>bienvenido@keys.express</t>
  </si>
  <si>
    <t>El mejor IDE completo para desarrolladores de .NET y C++ en Windows. Completamente equipado con una buena matriz de herramientas y características para elevar y mejorar todas las etapas del desarrollo de software.</t>
  </si>
  <si>
    <t xml:space="preserve">MICROSOFT </t>
  </si>
  <si>
    <t>https://visualstudio.microsoft.com/es/vs/pricing/</t>
  </si>
  <si>
    <t xml:space="preserve">LICENCIA VISUAL </t>
  </si>
  <si>
    <t xml:space="preserve">Licencia Windows 11 Pro ESD Vitalicia
</t>
  </si>
  <si>
    <t>MICROSOFT</t>
  </si>
  <si>
    <t>WINDOWS 11 HOME</t>
  </si>
  <si>
    <t>El sistema operativo primordial del los computadores que se usaran para el desarrollo del sistema web</t>
  </si>
  <si>
    <t>https://systorecolombia.com/server/252-licencia-sql-server-standard-2019-perpetua-dg7gmgf0fkx9.html</t>
  </si>
  <si>
    <t>Licencia SQL Server Standard 2019 Perpetua DG7GMGF0FKX9</t>
  </si>
  <si>
    <t>Monitor LG 24 Gamer Ultragear Fhd 180hz Color Black</t>
  </si>
  <si>
    <t>tamaño compacto de 24″, IPS para buena visibilidad, ideal para codificación y uso administrativo.</t>
  </si>
  <si>
    <t>Monitor Xiaomi A24i 23.8″</t>
  </si>
  <si>
    <t>diseño moderno, buena relación precio / calidad, suficiente para trabajar con UI, back-office y código.</t>
  </si>
  <si>
    <t>Monitor LG 24″ 24MR400</t>
  </si>
  <si>
    <t>Falabella</t>
  </si>
  <si>
    <t>XPG Starker Air</t>
  </si>
  <si>
    <t>NZXT H510 Elite RGB</t>
  </si>
  <si>
    <t>https://articulo.mercadolibre.com.co/MCO-2611582070-nzxt-h510-elite-torre-atx-blancanegra-cristal-doble-_JM?matt_tool=19390127&amp;utm_source=chatgpt.com</t>
  </si>
  <si>
    <t>Thermaltake View 270 Plus TG ARGB</t>
  </si>
  <si>
    <t>Diseño muy elegante con vidrio templado. Perfecta si te importa la estética y que los componentes se vean.</t>
  </si>
  <si>
    <t>https://articulo.mercadolibre.com.co/MCO-1592061277-ssd-kingston-nv3-1tb-m2-2280-nvme-pcie-40-gen-4x4-6000mbs-_JM?matt_tool=19390127&amp;utm_source=chatgpt.com&amp;search_layout=stack&amp;type=product&amp;tracking_id=aa8e5d63-5d99-467d-8939-e0e1b492ed9b</t>
  </si>
  <si>
    <t>SSD M.2 NVMe, muy rápido, ideal si tu placa madre tiene ranura M.2.</t>
  </si>
  <si>
    <t>Crucial BX500 SATA SSD</t>
  </si>
  <si>
    <t>Kingston NVMe M.2 SSD</t>
  </si>
  <si>
    <t>https://www.falabella.com.co/falabella-co/product/124164036/Disco-solido-ssd-crucial-bx500-2tb-sata-2.5-negro/124164037?utm_source=chatgpt.com</t>
  </si>
  <si>
    <t>SSD SATA 2.5″, buena opción para presupuesto moderado, para sistema operativo o datos.</t>
  </si>
  <si>
    <t>SanDisk Extreme Portable 1 TB</t>
  </si>
  <si>
    <t>SSD externo portátil, útil si quieres almacenamiento externo o backups rápidos.</t>
  </si>
  <si>
    <t>https://www.falabella.com.co/falabella-co/product/144581511/Disco-Solido-Sandisk-Extreme-SSD-V2-1TB-Portable-1050MBs/144581512?utm_source=chatgpt.com</t>
  </si>
  <si>
    <t>WD Blue 1 TB (3.5″) HDD</t>
  </si>
  <si>
    <t>Buena opción para almacenamiento general en PCs de escritorio.</t>
  </si>
  <si>
    <t>Seagate Barracuda 1 TB (2.5″)</t>
  </si>
  <si>
    <t>FALABELLA</t>
  </si>
  <si>
    <t>Ideal para laptops o equipos compactos.</t>
  </si>
  <si>
    <t>https://www.falabella.com.co/falabella-co/product/141017589/Disco-Duro-SEAGATE-2TB-Portatil/141017590?utm_source=chatgpt.com</t>
  </si>
  <si>
    <t xml:space="preserve">WD Purple 4 TB (3.5″) – Vigilancia Especial </t>
  </si>
  <si>
    <t>para uso de escritura continua, como video vigilancia o grabación de muchos datos.</t>
  </si>
  <si>
    <t>Procesador: Intel Xeon Silver 4210 (10 núcleos)
RAM: 64 GB ECC (memoria con corrección de errores)
Almacenamiento:</t>
  </si>
  <si>
    <t>https://www.falabella.com.co/falabella-co/product/119560332/Teclado-Gamer-Mecanico-Redragon-K552-Kumara-Iluminacion-RGB-Switch-Red/119560333?kid=shopp254fa&amp;gclsrc=aw.ds&amp;gad_source=1&amp;gad_campaignid=21634415508&amp;gbraid=0AAAAADtuoySDLmwoEx7hlfXkOqc7voOTh&amp;gclid=CjwKCAiAz_DIBhBJEiwAVH2XwCZp6VGsKN-O-DujrWOL0l0nRD9yQSYXd-GzZIbiED1eKz0wnVHHxRoCJxsQAvD_BwE</t>
  </si>
  <si>
    <t>Teclado Gamer Mecánico Redragon K552 Kumara Iluminación RGB Switch Red</t>
  </si>
  <si>
    <t>mecánico, muy popular entre gamers, buen rendimiento y sensación de pulsación.</t>
  </si>
  <si>
    <t>Licencia para desarrollo avanzado de software, ideal para equipos grandes que necesitan integración continua, testing avanzado y soporte premium. Compatible con múltiples plataformas y lenguajes. Requiere sistema operativo Windows actualizado.</t>
  </si>
  <si>
    <t>SQL Server 2022 Standard (8 cores)</t>
  </si>
  <si>
    <t>LATINKEYS</t>
  </si>
  <si>
    <t>https://latinkeys.com/colombia/producto/sql-server-2022-standard-64-bits-8-cores-cals-ilimitadas/?utm_source=chatgpt.com</t>
  </si>
  <si>
    <t>Oferta incluye soporte técnico limitado y actualizaciones de seguridad.
- Ideal para empresas medianas que requieren estabilidad y escalabilidad.
- Precio competitivo en Colombia con opción de compra en línea.</t>
  </si>
  <si>
    <t>Excelente opción para empresas que prefieren soporte presencial o local.
- Puede incluir servicios adicionales como instalación, configuración y mantenimiento.
- Recomendado para quienes busquen atención personalizada.</t>
  </si>
  <si>
    <t xml:space="preserve">Licencia SQL Server Standard 2019 Perpetua </t>
  </si>
  <si>
    <t xml:space="preserve">Falabella </t>
  </si>
  <si>
    <t>Alkosto</t>
  </si>
  <si>
    <t xml:space="preserve">Mercado Libre </t>
  </si>
  <si>
    <t>https://www.falabella.com.co/falabella-co/product/148453855/Caja-E-ATX-Thermaltake-H390-TG-ATGB-Black-(750W-80-Plus-Bronze)/148453856</t>
  </si>
  <si>
    <t>https://www.falabella.com.co/falabella-co/product/148209435/Monitor-LG-24-Fhd-120ghz-24U411A-B-Negro/148209436</t>
  </si>
  <si>
    <t>https://www.mercadolibre.com.co/disco-duro-interno-western-digital-wd-purple-wd40purx-4tb-purpura/p/MCO6136548?pdp_filters=item_id%3AMCO2808755156&amp;from=gshop&amp;matt_tool=32927594&amp;matt_word=&amp;matt_source=google&amp;matt_campaign_id=22126928795&amp;matt_ad_group_id=173140669843&amp;matt_match_type=&amp;matt_network=g&amp;matt_device=c&amp;matt_creative=729917880233&amp;matt_keyword=&amp;matt_ad_position=&amp;matt_ad_type=pla&amp;matt_merchant_id=735129189&amp;matt_product_id=MCO6136548-product&amp;matt_product_partition_id=2389849485085&amp;matt_target_id=pla-2389849485085&amp;cq_src=google_ads&amp;cq_cmp=22126928795&amp;cq_net=g&amp;cq_plt=gp&amp;cq_med=pla&amp;gad_source=1&amp;gad_campaignid=22126928795&amp;gbraid=0AAAAAD1DcoxbIoJYOk4Yw5zBY8TkXTBM7&amp;gclid=CjwKCAiA8vXIBhAtEiwAf3B-g2ErJma5_c3xtOW33yr3gOac8qwd10DWdrC3v7fbvBP4xzzJkHf5bhoCHsQQAvD_BwE</t>
  </si>
  <si>
    <t>https://www.mercadolibre.com.co/disco-duro-interno-western-digital-wd10ezex-1tb-plateado/p/MCO20953266#polycard_client=search-nordic&amp;search_layout=stack&amp;position=1&amp;type=product&amp;tracking_id=f6a23257-2aaa-49d5-8d32-eb98f416c944&amp;wid=MCO1339638675&amp;sid=search</t>
  </si>
  <si>
    <t>https://www.falabella.com.co/falabella-co/product/138046744/Memoria-Ram-Ddr4-Crucial-16-Gb-A-3200-Mhz-Para-Portatil/138046745&amp;currency=COP&amp;utm_medium=product_sync&amp;utm_source=google&amp;utm_content=sag_organic&amp;utm_campaign=sag_organic&amp;srsltid=AfmBOoqET5a1tgCjO-30b6IPBqHaFs9VneMJjDgoKfxpm8XhSgHhZF9ABDc</t>
  </si>
  <si>
    <t>https://www.falabella.com.co/falabella-co/product/147131600/Memoria-Corsair-Vengeance-RGB-RS-1x16GB-DDR4-3200-RGB/147131601</t>
  </si>
  <si>
    <t>https://www.alkosto.com/mouse-lenovo-alambrico-gaming-m210-negro/p/195892091356?srsltid=AfmBOoqD54-SQKF205LvPgVSM0Z5EzAlA5o5-urA8F4ShRQc9LMJPngTW9FDMVuEjmQqA7VqCEOgNUNA_RsIVY5Wx0gR5DnHe9ASAQ8M8YRAxeVn3Acejqh0tgN8ueo29TNxAiKe2N0G5LNR214HtNh2oR0UTEyycAdXVxbeQUTvX44aLr_mRDw18-JBsM.3bwOiESxFGE2avoolxd1NMyRwKpAc48tTWFOHEkuV94&amp;dib_tag=se&amp;hvadid=673177383265&amp;hvdev=c&amp;hvlocphy=1003659&amp;hvnetw=g&amp;hvqmt=b&amp;hvrand=4444607748343888028&amp;hvtargid=kwd-17170676&amp;hydadcr=750_1015168472&amp;keywords=mouse%2Bfor%2Blaptop&amp;qid=1717016842&amp;sr=8-1-spons&amp;sp_csd=d2lkZ2V0TmFtZT1zcF9hdGY&amp;th=1</t>
  </si>
  <si>
    <t>Mouse LENOVO Alámbrico Gaming M210 Negro</t>
  </si>
  <si>
    <t>https://www.falabella.com.co/falabella-co/product/125025600/Mouse-Gamer-Logitech-Inalambrico-Lightspeed-G305-Lila/125025601</t>
  </si>
  <si>
    <t>https://www.microsoft.com/es-co/d/windows-11-pro/dg7gmgf0d8h4</t>
  </si>
  <si>
    <t>Microsoft</t>
  </si>
  <si>
    <t>https://frontier.com.co/licencia-microsoft-windows-11-pro-3264-esd?srsltid=AfmBOoreXM9wGaa2mHxiX4JQL8g8RJf43De_3laEirrVbWTutidvMXIL</t>
  </si>
  <si>
    <t>frontier</t>
  </si>
  <si>
    <t>https://lasus.com.co/es/licencia-de-producto-en-linea-microsoft-win-pro-11-64bit?srsltid=AfmBOopUt8emgqOdPYcTXWV-Dpo-nWe2JeIUTcbsxbhA_v3l7eOFfJM0</t>
  </si>
  <si>
    <t xml:space="preserve">https://www.microsoft.com/es-cl/d/suscripcion-a-visual-studio-enterprise/dg7gmgf0dst4
</t>
  </si>
  <si>
    <t xml:space="preserve">
Suscripción a Visual Studio Enterprise (nuevo)</t>
  </si>
  <si>
    <t>https://www.microsoft.com/es-mx/sql-server/sql-server-2022-pricing</t>
  </si>
  <si>
    <t xml:space="preserve">Microsoft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</si>
</sst>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_);[Red]\(&quot;$&quot;#,##0\)"/>
    <numFmt numFmtId="165" formatCode="&quot;$&quot;#,##0.00_);[Red]\(&quot;$&quot;#,##0.00\)"/>
    <numFmt numFmtId="166" formatCode="_(&quot;$&quot;* #,##0.00_);_(&quot;$&quot;* \(#,##0.00\);_(&quot;$&quot;* &quot;-&quot;??_);_(@_)"/>
    <numFmt numFmtId="167" formatCode="_([$$-409]* #,##0.00_);_([$$-409]* \(#,##0.00\);_([$$-409]* &quot;-&quot;??_);_(@_)"/>
    <numFmt numFmtId="168" formatCode="_-[$$-240A]\ * #,##0.00_-;\-[$$-240A]\ * #,##0.00_-;_-[$$-240A]\ * &quot;-&quot;??_-;_-@_-"/>
    <numFmt numFmtId="169" formatCode="_-[$$-409]* #,##0.00_ ;_-[$$-409]* \-#,##0.00\ ;_-[$$-409]* &quot;-&quot;??_ ;_-@_ "/>
  </numFmts>
  <fonts count="46">
    <font>
      <sz val="10"/>
      <color rgb="FF000000"/>
      <name val="Arial"/>
      <scheme val="minor"/>
    </font>
    <font>
      <sz val="10"/>
      <color theme="1"/>
      <name val="Arial"/>
    </font>
    <font>
      <b/>
      <sz val="12"/>
      <color theme="1"/>
      <name val="Arial"/>
    </font>
    <font>
      <sz val="10"/>
      <name val="Arial"/>
    </font>
    <font>
      <b/>
      <sz val="10"/>
      <color theme="1"/>
      <name val="Arial"/>
    </font>
    <font>
      <b/>
      <sz val="10"/>
      <color theme="1"/>
      <name val="Trebuchet MS"/>
    </font>
    <font>
      <b/>
      <u/>
      <sz val="10"/>
      <color theme="1"/>
      <name val="Trebuchet MS"/>
    </font>
    <font>
      <i/>
      <sz val="10"/>
      <color theme="1"/>
      <name val="Arial"/>
    </font>
    <font>
      <sz val="10"/>
      <color theme="1"/>
      <name val="Trebuchet MS"/>
    </font>
    <font>
      <u/>
      <sz val="10"/>
      <color rgb="FF000000"/>
      <name val="Trebuchet MS"/>
    </font>
    <font>
      <sz val="10"/>
      <color rgb="FF231F20"/>
      <name val="Trebuchet MS"/>
    </font>
    <font>
      <sz val="10"/>
      <color theme="1"/>
      <name val="Arial Narrow"/>
    </font>
    <font>
      <sz val="10"/>
      <color rgb="FF000000"/>
      <name val="Trebuchet MS"/>
    </font>
    <font>
      <i/>
      <sz val="8"/>
      <color theme="1"/>
      <name val="Trebuchet MS"/>
    </font>
    <font>
      <i/>
      <sz val="10"/>
      <color theme="1"/>
      <name val="Trebuchet MS"/>
    </font>
    <font>
      <i/>
      <u/>
      <sz val="8"/>
      <color theme="1"/>
      <name val="Trebuchet MS"/>
    </font>
    <font>
      <i/>
      <sz val="8"/>
      <color theme="1"/>
      <name val="Arial"/>
    </font>
    <font>
      <b/>
      <i/>
      <sz val="8"/>
      <color theme="1"/>
      <name val="Arial"/>
    </font>
    <font>
      <u/>
      <sz val="10"/>
      <color theme="10"/>
      <name val="Arial"/>
      <scheme val="minor"/>
    </font>
    <font>
      <sz val="10"/>
      <color rgb="FF000000"/>
      <name val="Arial"/>
      <scheme val="minor"/>
    </font>
    <font>
      <sz val="10"/>
      <color rgb="FF3C4B71"/>
      <name val="Arial"/>
      <scheme val="minor"/>
    </font>
    <font>
      <sz val="10"/>
      <color rgb="FF222222"/>
      <name val="Inherit"/>
    </font>
    <font>
      <sz val="10"/>
      <name val="&quot;Proxima Nova&quot;"/>
    </font>
    <font>
      <b/>
      <sz val="10"/>
      <name val="&quot;open sans&quot;"/>
    </font>
    <font>
      <sz val="10"/>
      <name val="Montserrat"/>
    </font>
    <font>
      <b/>
      <sz val="10"/>
      <color theme="1"/>
      <name val="Arial"/>
      <family val="2"/>
      <scheme val="major"/>
    </font>
    <font>
      <i/>
      <sz val="10"/>
      <color theme="1"/>
      <name val="Arial"/>
      <family val="2"/>
      <scheme val="major"/>
    </font>
    <font>
      <b/>
      <u/>
      <sz val="10"/>
      <color theme="1"/>
      <name val="Arial"/>
      <family val="2"/>
      <scheme val="major"/>
    </font>
    <font>
      <sz val="10"/>
      <color rgb="FF000000"/>
      <name val="Arial"/>
      <family val="2"/>
      <scheme val="major"/>
    </font>
    <font>
      <u/>
      <sz val="10"/>
      <color theme="10"/>
      <name val="Arial"/>
      <family val="2"/>
      <scheme val="major"/>
    </font>
    <font>
      <sz val="10"/>
      <color theme="1"/>
      <name val="Arial"/>
      <family val="2"/>
      <scheme val="major"/>
    </font>
    <font>
      <u/>
      <sz val="10"/>
      <color rgb="FF000000"/>
      <name val="Arial"/>
      <family val="2"/>
      <scheme val="major"/>
    </font>
    <font>
      <sz val="10"/>
      <color rgb="FF444444"/>
      <name val="Arial"/>
      <family val="2"/>
      <scheme val="major"/>
    </font>
    <font>
      <i/>
      <u/>
      <sz val="10"/>
      <color theme="1"/>
      <name val="Arial"/>
      <family val="2"/>
      <scheme val="major"/>
    </font>
    <font>
      <sz val="10"/>
      <color rgb="FF231F20"/>
      <name val="Arial"/>
      <family val="2"/>
      <scheme val="major"/>
    </font>
    <font>
      <sz val="10"/>
      <color rgb="FF333333"/>
      <name val="Arial"/>
      <family val="2"/>
      <scheme val="major"/>
    </font>
    <font>
      <sz val="10"/>
      <color rgb="FF666666"/>
      <name val="Arial"/>
      <family val="2"/>
      <scheme val="major"/>
    </font>
    <font>
      <b/>
      <sz val="10"/>
      <color rgb="FF333E48"/>
      <name val="Arial"/>
      <family val="2"/>
      <scheme val="major"/>
    </font>
    <font>
      <sz val="10"/>
      <color rgb="FF333E48"/>
      <name val="Arial"/>
      <family val="2"/>
      <scheme val="major"/>
    </font>
    <font>
      <sz val="9"/>
      <name val="Arial"/>
      <family val="2"/>
      <scheme val="major"/>
    </font>
    <font>
      <sz val="10"/>
      <name val="Arial"/>
      <family val="2"/>
      <scheme val="major"/>
    </font>
    <font>
      <b/>
      <sz val="10"/>
      <name val="Arial"/>
      <family val="2"/>
      <scheme val="major"/>
    </font>
    <font>
      <sz val="10"/>
      <color rgb="FF4A4A4A"/>
      <name val="Arial"/>
      <family val="2"/>
      <scheme val="major"/>
    </font>
    <font>
      <sz val="10"/>
      <color rgb="FF0F1111"/>
      <name val="Arial"/>
      <family val="2"/>
      <scheme val="major"/>
    </font>
    <font>
      <u/>
      <sz val="10"/>
      <name val="Arial"/>
      <family val="2"/>
      <scheme val="major"/>
    </font>
    <font>
      <u/>
      <sz val="9"/>
      <name val="Arial"/>
      <family val="2"/>
      <scheme val="major"/>
    </font>
  </fonts>
  <fills count="10">
    <fill>
      <patternFill patternType="none"/>
    </fill>
    <fill>
      <patternFill patternType="gray125"/>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8F8F8"/>
        <bgColor rgb="FFF8F8F8"/>
      </patternFill>
    </fill>
    <fill>
      <patternFill patternType="solid">
        <fgColor rgb="FFF5F5F5"/>
        <bgColor rgb="FFF5F5F5"/>
      </patternFill>
    </fill>
    <fill>
      <patternFill patternType="solid">
        <fgColor rgb="FFEFEFEF"/>
        <bgColor rgb="FFEFEFEF"/>
      </patternFill>
    </fill>
  </fills>
  <borders count="11">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8" fillId="0" borderId="0" applyNumberFormat="0" applyFill="0" applyBorder="0" applyAlignment="0" applyProtection="0"/>
    <xf numFmtId="166" fontId="19" fillId="0" borderId="0" applyFont="0" applyFill="0" applyBorder="0" applyAlignment="0" applyProtection="0"/>
    <xf numFmtId="9" fontId="19" fillId="0" borderId="0" applyFont="0" applyFill="0" applyBorder="0" applyAlignment="0" applyProtection="0"/>
  </cellStyleXfs>
  <cellXfs count="123">
    <xf numFmtId="0" fontId="0" fillId="0" borderId="0" xfId="0"/>
    <xf numFmtId="0" fontId="1" fillId="0" borderId="0" xfId="0" applyFont="1"/>
    <xf numFmtId="0" fontId="4" fillId="3" borderId="3" xfId="0" applyFont="1" applyFill="1" applyBorder="1" applyAlignment="1">
      <alignment horizontal="center" vertical="center" wrapText="1"/>
    </xf>
    <xf numFmtId="0" fontId="5" fillId="0" borderId="3" xfId="0" applyFont="1" applyBorder="1" applyAlignment="1">
      <alignment horizontal="center" vertical="center" wrapText="1"/>
    </xf>
    <xf numFmtId="0" fontId="6" fillId="4"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7" fillId="0" borderId="0" xfId="0" applyFont="1" applyAlignment="1">
      <alignment horizontal="center" vertical="center"/>
    </xf>
    <xf numFmtId="0" fontId="4" fillId="0" borderId="3" xfId="0" applyFont="1" applyBorder="1" applyAlignment="1">
      <alignment horizontal="center" vertical="center"/>
    </xf>
    <xf numFmtId="0" fontId="8" fillId="0" borderId="3" xfId="0" applyFont="1" applyBorder="1" applyAlignment="1">
      <alignment horizontal="center" vertical="top" wrapText="1"/>
    </xf>
    <xf numFmtId="3" fontId="8" fillId="0" borderId="3" xfId="0" applyNumberFormat="1" applyFont="1" applyBorder="1" applyAlignment="1">
      <alignment horizontal="center" vertical="top" wrapText="1"/>
    </xf>
    <xf numFmtId="0" fontId="1" fillId="0" borderId="3" xfId="0" applyFont="1" applyBorder="1"/>
    <xf numFmtId="0" fontId="8" fillId="0" borderId="3" xfId="0" applyFont="1" applyBorder="1" applyAlignment="1">
      <alignment horizontal="left" vertical="top" wrapText="1"/>
    </xf>
    <xf numFmtId="0" fontId="11" fillId="0" borderId="0" xfId="0" applyFont="1" applyAlignment="1">
      <alignment horizontal="center" vertical="center" wrapText="1"/>
    </xf>
    <xf numFmtId="0" fontId="4" fillId="3" borderId="5" xfId="0" applyFont="1" applyFill="1" applyBorder="1" applyAlignment="1">
      <alignment horizontal="center" vertical="center" wrapText="1"/>
    </xf>
    <xf numFmtId="0" fontId="5" fillId="0" borderId="5" xfId="0" applyFont="1" applyBorder="1" applyAlignment="1">
      <alignment horizontal="center" vertical="center" wrapText="1"/>
    </xf>
    <xf numFmtId="0" fontId="6" fillId="4" borderId="5"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0" borderId="7" xfId="0" applyFont="1" applyBorder="1" applyAlignment="1">
      <alignment horizontal="center" vertical="center"/>
    </xf>
    <xf numFmtId="0" fontId="1" fillId="0" borderId="7" xfId="0" applyFont="1" applyBorder="1"/>
    <xf numFmtId="0" fontId="12" fillId="0" borderId="3" xfId="0" applyFont="1" applyBorder="1" applyAlignment="1">
      <alignment horizontal="center" vertical="center" wrapText="1"/>
    </xf>
    <xf numFmtId="0" fontId="18" fillId="0" borderId="3" xfId="1" applyBorder="1" applyAlignment="1">
      <alignment horizontal="center" vertical="center" wrapText="1"/>
    </xf>
    <xf numFmtId="0" fontId="0" fillId="6" borderId="3" xfId="0" applyFill="1" applyBorder="1" applyAlignment="1">
      <alignment horizontal="center" vertical="center" wrapText="1"/>
    </xf>
    <xf numFmtId="168" fontId="12" fillId="0" borderId="3" xfId="0" applyNumberFormat="1" applyFont="1" applyBorder="1" applyAlignment="1">
      <alignment horizontal="center" vertical="center" wrapText="1"/>
    </xf>
    <xf numFmtId="167" fontId="12" fillId="0" borderId="3" xfId="0" applyNumberFormat="1" applyFont="1" applyBorder="1" applyAlignment="1">
      <alignment horizontal="center" vertical="center" wrapText="1"/>
    </xf>
    <xf numFmtId="0" fontId="10" fillId="0" borderId="3" xfId="0" applyFont="1" applyBorder="1" applyAlignment="1">
      <alignment horizontal="center" vertical="center" wrapText="1"/>
    </xf>
    <xf numFmtId="0" fontId="20" fillId="6" borderId="3" xfId="0" applyFont="1" applyFill="1" applyBorder="1" applyAlignment="1">
      <alignment horizontal="center" vertical="center" wrapText="1"/>
    </xf>
    <xf numFmtId="0" fontId="21" fillId="6" borderId="3"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23" fillId="6" borderId="2" xfId="0" applyFont="1" applyFill="1" applyBorder="1" applyAlignment="1">
      <alignment horizontal="center" vertical="center" wrapText="1"/>
    </xf>
    <xf numFmtId="0" fontId="24" fillId="6" borderId="2" xfId="0" applyFont="1" applyFill="1" applyBorder="1" applyAlignment="1">
      <alignment horizontal="center" vertical="center" wrapText="1"/>
    </xf>
    <xf numFmtId="0" fontId="4" fillId="0" borderId="4" xfId="0" applyFont="1" applyBorder="1" applyAlignment="1">
      <alignment horizontal="center" vertical="center"/>
    </xf>
    <xf numFmtId="0" fontId="8" fillId="0" borderId="6" xfId="0" applyFont="1" applyBorder="1" applyAlignment="1">
      <alignment horizontal="left" vertical="top" wrapText="1"/>
    </xf>
    <xf numFmtId="0" fontId="25" fillId="3" borderId="3" xfId="0" applyFont="1" applyFill="1" applyBorder="1" applyAlignment="1">
      <alignment horizontal="center" vertical="center" wrapText="1"/>
    </xf>
    <xf numFmtId="0" fontId="25" fillId="0" borderId="3" xfId="0" applyFont="1" applyBorder="1" applyAlignment="1">
      <alignment horizontal="center" vertical="center" wrapText="1"/>
    </xf>
    <xf numFmtId="0" fontId="27" fillId="4" borderId="3" xfId="0" applyFont="1" applyFill="1" applyBorder="1" applyAlignment="1">
      <alignment horizontal="center" vertical="center" wrapText="1"/>
    </xf>
    <xf numFmtId="0" fontId="25" fillId="5" borderId="4" xfId="0" applyFont="1" applyFill="1" applyBorder="1" applyAlignment="1">
      <alignment horizontal="center" vertical="center" wrapText="1"/>
    </xf>
    <xf numFmtId="0" fontId="28" fillId="0" borderId="4" xfId="0" applyFont="1" applyBorder="1" applyAlignment="1">
      <alignment horizontal="center" vertical="center" wrapText="1"/>
    </xf>
    <xf numFmtId="0" fontId="29" fillId="0" borderId="5" xfId="1" applyFont="1" applyBorder="1" applyAlignment="1">
      <alignment vertical="center" wrapText="1"/>
    </xf>
    <xf numFmtId="0" fontId="28" fillId="0" borderId="3" xfId="0" applyFont="1" applyBorder="1" applyAlignment="1">
      <alignment horizontal="center" vertical="center" wrapText="1"/>
    </xf>
    <xf numFmtId="165" fontId="28" fillId="0" borderId="3" xfId="0" applyNumberFormat="1" applyFont="1" applyBorder="1" applyAlignment="1">
      <alignment horizontal="center" vertical="center" wrapText="1"/>
    </xf>
    <xf numFmtId="167" fontId="30" fillId="0" borderId="3" xfId="0" applyNumberFormat="1" applyFont="1" applyBorder="1" applyAlignment="1">
      <alignment horizontal="center" vertical="top" wrapText="1"/>
    </xf>
    <xf numFmtId="0" fontId="28" fillId="6" borderId="3" xfId="0" applyFont="1" applyFill="1" applyBorder="1" applyAlignment="1">
      <alignment vertical="center" wrapText="1"/>
    </xf>
    <xf numFmtId="0" fontId="29" fillId="6" borderId="3" xfId="1" applyFont="1" applyFill="1" applyBorder="1" applyAlignment="1">
      <alignment horizontal="center" vertical="center" wrapText="1"/>
    </xf>
    <xf numFmtId="0" fontId="32" fillId="6" borderId="2" xfId="0" applyFont="1" applyFill="1" applyBorder="1" applyAlignment="1">
      <alignment horizontal="center" vertical="center" wrapText="1"/>
    </xf>
    <xf numFmtId="0" fontId="32" fillId="8" borderId="3" xfId="0" applyFont="1" applyFill="1" applyBorder="1" applyAlignment="1">
      <alignment vertical="center" wrapText="1"/>
    </xf>
    <xf numFmtId="0" fontId="32" fillId="6" borderId="3" xfId="0" applyFont="1" applyFill="1" applyBorder="1" applyAlignment="1">
      <alignment horizontal="center" vertical="center" wrapText="1"/>
    </xf>
    <xf numFmtId="164" fontId="28" fillId="0" borderId="3" xfId="0" applyNumberFormat="1" applyFont="1" applyBorder="1" applyAlignment="1">
      <alignment horizontal="center" vertical="center" wrapText="1"/>
    </xf>
    <xf numFmtId="0" fontId="28" fillId="0" borderId="7" xfId="0" applyFont="1" applyBorder="1" applyAlignment="1">
      <alignment horizontal="center" vertical="center" wrapText="1"/>
    </xf>
    <xf numFmtId="0" fontId="29" fillId="0" borderId="7" xfId="1" applyFont="1" applyBorder="1" applyAlignment="1">
      <alignment horizontal="center" vertical="center" wrapText="1"/>
    </xf>
    <xf numFmtId="0" fontId="28" fillId="6" borderId="7" xfId="0" applyFont="1" applyFill="1" applyBorder="1" applyAlignment="1">
      <alignment horizontal="center" vertical="center" wrapText="1"/>
    </xf>
    <xf numFmtId="164" fontId="28" fillId="0" borderId="7" xfId="0" applyNumberFormat="1" applyFont="1" applyBorder="1" applyAlignment="1">
      <alignment horizontal="center" vertical="center" wrapText="1"/>
    </xf>
    <xf numFmtId="165" fontId="28" fillId="0" borderId="7" xfId="0" applyNumberFormat="1" applyFont="1" applyBorder="1" applyAlignment="1">
      <alignment horizontal="center" vertical="center" wrapText="1"/>
    </xf>
    <xf numFmtId="167" fontId="30" fillId="0" borderId="7" xfId="0" applyNumberFormat="1" applyFont="1" applyBorder="1" applyAlignment="1">
      <alignment horizontal="center" vertical="top" wrapText="1"/>
    </xf>
    <xf numFmtId="0" fontId="28" fillId="6" borderId="7" xfId="0" applyFont="1" applyFill="1" applyBorder="1" applyAlignment="1">
      <alignment horizontal="center" wrapText="1"/>
    </xf>
    <xf numFmtId="0" fontId="34" fillId="0" borderId="7" xfId="0" applyFont="1" applyBorder="1" applyAlignment="1">
      <alignment horizontal="center" vertical="center" wrapText="1"/>
    </xf>
    <xf numFmtId="0" fontId="35" fillId="6" borderId="7" xfId="0" applyFont="1" applyFill="1" applyBorder="1" applyAlignment="1">
      <alignment horizontal="center" vertical="center" wrapText="1"/>
    </xf>
    <xf numFmtId="0" fontId="30" fillId="0" borderId="7" xfId="0" applyFont="1" applyBorder="1" applyAlignment="1">
      <alignment horizontal="left" vertical="top" wrapText="1"/>
    </xf>
    <xf numFmtId="167" fontId="28" fillId="0" borderId="7" xfId="0" applyNumberFormat="1" applyFont="1" applyBorder="1" applyAlignment="1">
      <alignment horizontal="center" vertical="top" wrapText="1"/>
    </xf>
    <xf numFmtId="168" fontId="28" fillId="6" borderId="7" xfId="0" applyNumberFormat="1" applyFont="1" applyFill="1" applyBorder="1" applyAlignment="1">
      <alignment horizontal="center" vertical="center" wrapText="1"/>
    </xf>
    <xf numFmtId="168" fontId="28" fillId="0" borderId="7" xfId="0" applyNumberFormat="1" applyFont="1" applyBorder="1" applyAlignment="1">
      <alignment horizontal="center" vertical="center" wrapText="1"/>
    </xf>
    <xf numFmtId="0" fontId="32" fillId="6" borderId="7" xfId="0" applyFont="1" applyFill="1" applyBorder="1" applyAlignment="1">
      <alignment horizontal="center" vertical="center" wrapText="1"/>
    </xf>
    <xf numFmtId="168" fontId="28" fillId="0" borderId="7" xfId="2" applyNumberFormat="1" applyFont="1" applyBorder="1" applyAlignment="1">
      <alignment horizontal="center" vertical="center" wrapText="1"/>
    </xf>
    <xf numFmtId="168" fontId="28" fillId="6" borderId="7" xfId="2" applyNumberFormat="1" applyFont="1" applyFill="1" applyBorder="1" applyAlignment="1">
      <alignment horizontal="center" vertical="center" wrapText="1"/>
    </xf>
    <xf numFmtId="167" fontId="4" fillId="5" borderId="8" xfId="0" applyNumberFormat="1" applyFont="1" applyFill="1" applyBorder="1" applyAlignment="1">
      <alignment horizontal="center" vertical="center" wrapText="1"/>
    </xf>
    <xf numFmtId="0" fontId="36" fillId="6" borderId="7" xfId="0" applyFont="1" applyFill="1" applyBorder="1" applyAlignment="1">
      <alignment horizontal="center" vertical="center" wrapText="1"/>
    </xf>
    <xf numFmtId="167" fontId="30" fillId="0" borderId="7" xfId="3" applyNumberFormat="1" applyFont="1" applyBorder="1" applyAlignment="1">
      <alignment horizontal="center" vertical="top" wrapText="1"/>
    </xf>
    <xf numFmtId="0" fontId="37" fillId="6" borderId="7" xfId="0" applyFont="1" applyFill="1" applyBorder="1" applyAlignment="1">
      <alignment horizontal="center" vertical="center" wrapText="1"/>
    </xf>
    <xf numFmtId="0" fontId="38" fillId="6" borderId="7" xfId="0" applyFont="1" applyFill="1" applyBorder="1" applyAlignment="1">
      <alignment horizontal="center" vertical="center" wrapText="1"/>
    </xf>
    <xf numFmtId="0" fontId="1" fillId="0" borderId="4" xfId="0" applyFont="1" applyBorder="1"/>
    <xf numFmtId="0" fontId="35" fillId="6" borderId="7" xfId="0" applyFont="1" applyFill="1" applyBorder="1" applyAlignment="1">
      <alignment vertical="center" wrapText="1"/>
    </xf>
    <xf numFmtId="168" fontId="40" fillId="6" borderId="7" xfId="0" applyNumberFormat="1" applyFont="1" applyFill="1" applyBorder="1" applyAlignment="1">
      <alignment horizontal="center" vertical="center" wrapText="1"/>
    </xf>
    <xf numFmtId="0" fontId="32" fillId="8" borderId="7" xfId="0" applyFont="1" applyFill="1" applyBorder="1" applyAlignment="1">
      <alignment vertical="center" wrapText="1"/>
    </xf>
    <xf numFmtId="0" fontId="28" fillId="0" borderId="7" xfId="0" applyFont="1" applyBorder="1" applyAlignment="1">
      <alignment horizontal="left" vertical="center" wrapText="1"/>
    </xf>
    <xf numFmtId="168" fontId="41" fillId="6" borderId="7" xfId="0" applyNumberFormat="1" applyFont="1" applyFill="1" applyBorder="1" applyAlignment="1">
      <alignment horizontal="center" vertical="center" wrapText="1"/>
    </xf>
    <xf numFmtId="168" fontId="42" fillId="6" borderId="7" xfId="0" applyNumberFormat="1" applyFont="1" applyFill="1" applyBorder="1" applyAlignment="1">
      <alignment horizontal="center" vertical="center" wrapText="1"/>
    </xf>
    <xf numFmtId="0" fontId="31" fillId="0" borderId="7" xfId="0" applyFont="1" applyBorder="1" applyAlignment="1">
      <alignment horizontal="center" vertical="center" wrapText="1"/>
    </xf>
    <xf numFmtId="0" fontId="40" fillId="0" borderId="7" xfId="0" applyFont="1" applyBorder="1" applyAlignment="1">
      <alignment horizontal="center" vertical="center" wrapText="1"/>
    </xf>
    <xf numFmtId="0" fontId="44" fillId="0" borderId="7" xfId="1" applyFont="1" applyBorder="1" applyAlignment="1">
      <alignment horizontal="center" vertical="center" wrapText="1"/>
    </xf>
    <xf numFmtId="0" fontId="40" fillId="6" borderId="7" xfId="0" applyFont="1" applyFill="1" applyBorder="1" applyAlignment="1">
      <alignment horizontal="center" vertical="center" wrapText="1"/>
    </xf>
    <xf numFmtId="168" fontId="40" fillId="0" borderId="7" xfId="0" applyNumberFormat="1" applyFont="1" applyBorder="1" applyAlignment="1">
      <alignment horizontal="center" vertical="center" wrapText="1"/>
    </xf>
    <xf numFmtId="167" fontId="40" fillId="0" borderId="7" xfId="0" applyNumberFormat="1" applyFont="1" applyBorder="1" applyAlignment="1">
      <alignment horizontal="center" vertical="center" wrapText="1"/>
    </xf>
    <xf numFmtId="3" fontId="8" fillId="0" borderId="6" xfId="0" applyNumberFormat="1" applyFont="1" applyBorder="1" applyAlignment="1">
      <alignment horizontal="center" vertical="top" wrapText="1"/>
    </xf>
    <xf numFmtId="0" fontId="39" fillId="0" borderId="7" xfId="0" applyFont="1" applyBorder="1" applyAlignment="1">
      <alignment horizontal="center" vertical="center" wrapText="1"/>
    </xf>
    <xf numFmtId="0" fontId="40" fillId="0" borderId="7" xfId="0" applyFont="1" applyBorder="1" applyAlignment="1">
      <alignment horizontal="center" vertical="top" wrapText="1"/>
    </xf>
    <xf numFmtId="0" fontId="44" fillId="0" borderId="7" xfId="0" applyFont="1" applyBorder="1" applyAlignment="1">
      <alignment horizontal="center" vertical="top" wrapText="1"/>
    </xf>
    <xf numFmtId="166" fontId="39" fillId="0" borderId="7" xfId="2" applyFont="1" applyBorder="1" applyAlignment="1">
      <alignment horizontal="center" vertical="center" wrapText="1"/>
    </xf>
    <xf numFmtId="166" fontId="40" fillId="0" borderId="7" xfId="2" applyFont="1" applyBorder="1" applyAlignment="1">
      <alignment horizontal="center" vertical="top" wrapText="1"/>
    </xf>
    <xf numFmtId="167" fontId="40" fillId="0" borderId="7" xfId="0" applyNumberFormat="1" applyFont="1" applyBorder="1" applyAlignment="1">
      <alignment horizontal="center" vertical="top" wrapText="1"/>
    </xf>
    <xf numFmtId="0" fontId="39" fillId="9" borderId="7" xfId="0" applyFont="1" applyFill="1" applyBorder="1" applyAlignment="1">
      <alignment horizontal="center" vertical="center" wrapText="1"/>
    </xf>
    <xf numFmtId="0" fontId="45" fillId="0" borderId="7" xfId="0" applyFont="1" applyBorder="1" applyAlignment="1">
      <alignment horizontal="center" vertical="center" wrapText="1"/>
    </xf>
    <xf numFmtId="168" fontId="40" fillId="0" borderId="7" xfId="0" applyNumberFormat="1" applyFont="1" applyBorder="1" applyAlignment="1">
      <alignment horizontal="center" vertical="top" wrapText="1"/>
    </xf>
    <xf numFmtId="0" fontId="40" fillId="6" borderId="7" xfId="0" applyFont="1" applyFill="1" applyBorder="1" applyAlignment="1">
      <alignment vertical="center" wrapText="1"/>
    </xf>
    <xf numFmtId="0" fontId="40" fillId="0" borderId="7" xfId="0" applyFont="1" applyBorder="1" applyAlignment="1">
      <alignment vertical="center" wrapText="1"/>
    </xf>
    <xf numFmtId="0" fontId="44" fillId="0" borderId="7" xfId="0" applyFont="1" applyBorder="1" applyAlignment="1">
      <alignment vertical="center" wrapText="1"/>
    </xf>
    <xf numFmtId="168" fontId="40" fillId="0" borderId="7" xfId="0" applyNumberFormat="1" applyFont="1" applyBorder="1" applyAlignment="1">
      <alignment vertical="center" wrapText="1"/>
    </xf>
    <xf numFmtId="168" fontId="40" fillId="0" borderId="7" xfId="2" applyNumberFormat="1" applyFont="1" applyBorder="1" applyAlignment="1">
      <alignment vertical="center" wrapText="1"/>
    </xf>
    <xf numFmtId="167" fontId="40" fillId="0" borderId="7" xfId="0" applyNumberFormat="1" applyFont="1" applyBorder="1" applyAlignment="1">
      <alignment vertical="center" wrapText="1"/>
    </xf>
    <xf numFmtId="169" fontId="9" fillId="0" borderId="3" xfId="0" applyNumberFormat="1" applyFont="1" applyBorder="1" applyAlignment="1">
      <alignment horizontal="center" vertical="center" wrapText="1"/>
    </xf>
    <xf numFmtId="169" fontId="31" fillId="6" borderId="3" xfId="0" applyNumberFormat="1" applyFont="1" applyFill="1" applyBorder="1" applyAlignment="1">
      <alignment horizontal="center" vertical="center" wrapText="1"/>
    </xf>
    <xf numFmtId="169" fontId="31" fillId="6" borderId="7" xfId="0" applyNumberFormat="1" applyFont="1" applyFill="1" applyBorder="1" applyAlignment="1">
      <alignment horizontal="center" vertical="center" wrapText="1"/>
    </xf>
    <xf numFmtId="169" fontId="31" fillId="6" borderId="9" xfId="0" applyNumberFormat="1" applyFont="1" applyFill="1" applyBorder="1" applyAlignment="1">
      <alignment horizontal="center" vertical="center" wrapText="1"/>
    </xf>
    <xf numFmtId="0" fontId="28" fillId="6" borderId="10" xfId="0" applyFont="1" applyFill="1" applyBorder="1" applyAlignment="1">
      <alignment horizontal="center" vertical="center" wrapText="1"/>
    </xf>
    <xf numFmtId="0" fontId="43" fillId="6" borderId="10" xfId="0" applyFont="1" applyFill="1" applyBorder="1" applyAlignment="1">
      <alignment horizontal="center" vertical="center" wrapText="1"/>
    </xf>
    <xf numFmtId="0" fontId="36" fillId="6" borderId="10" xfId="0" applyFont="1" applyFill="1" applyBorder="1" applyAlignment="1">
      <alignment horizontal="center" vertical="center" wrapText="1"/>
    </xf>
    <xf numFmtId="0" fontId="0" fillId="0" borderId="3" xfId="0" applyBorder="1" applyAlignment="1">
      <alignment horizontal="center" vertical="center"/>
    </xf>
    <xf numFmtId="169" fontId="40" fillId="0" borderId="7" xfId="0" applyNumberFormat="1" applyFont="1" applyBorder="1" applyAlignment="1">
      <alignment horizontal="center" vertical="center" wrapText="1"/>
    </xf>
    <xf numFmtId="169" fontId="39" fillId="0" borderId="7" xfId="0" applyNumberFormat="1" applyFont="1" applyBorder="1" applyAlignment="1">
      <alignment horizontal="center" vertical="center" wrapText="1"/>
    </xf>
    <xf numFmtId="169" fontId="40" fillId="0" borderId="7" xfId="0" applyNumberFormat="1" applyFont="1" applyBorder="1" applyAlignment="1">
      <alignment horizontal="center" vertical="top" wrapText="1"/>
    </xf>
    <xf numFmtId="0" fontId="18" fillId="0" borderId="7" xfId="1" applyBorder="1" applyAlignment="1">
      <alignment horizontal="center" vertical="center" wrapText="1"/>
    </xf>
    <xf numFmtId="0" fontId="35" fillId="6" borderId="7" xfId="0" applyFont="1" applyFill="1" applyBorder="1" applyAlignment="1">
      <alignment wrapText="1"/>
    </xf>
    <xf numFmtId="0" fontId="18" fillId="0" borderId="7" xfId="1" applyBorder="1" applyAlignment="1">
      <alignment horizontal="center" vertical="top" wrapText="1"/>
    </xf>
    <xf numFmtId="0" fontId="2" fillId="0" borderId="0" xfId="0" applyFont="1" applyAlignment="1">
      <alignment horizontal="center" vertical="center"/>
    </xf>
    <xf numFmtId="0" fontId="0" fillId="0" borderId="0" xfId="0" applyAlignment="1"/>
    <xf numFmtId="0" fontId="2" fillId="2" borderId="4" xfId="0" applyFont="1" applyFill="1" applyBorder="1" applyAlignment="1">
      <alignment horizontal="center" vertical="center" wrapText="1"/>
    </xf>
    <xf numFmtId="0" fontId="3" fillId="0" borderId="1" xfId="0" applyFont="1" applyBorder="1" applyAlignment="1"/>
    <xf numFmtId="0" fontId="3" fillId="0" borderId="2" xfId="0" applyFont="1" applyBorder="1" applyAlignment="1"/>
    <xf numFmtId="0" fontId="4" fillId="0" borderId="4" xfId="0" applyFont="1" applyBorder="1" applyAlignment="1">
      <alignment horizontal="left" vertical="center" wrapText="1"/>
    </xf>
    <xf numFmtId="0" fontId="28" fillId="0" borderId="7" xfId="0" applyFont="1" applyBorder="1" applyAlignment="1">
      <alignment horizontal="center" vertical="center" wrapText="1"/>
    </xf>
    <xf numFmtId="3" fontId="28" fillId="0" borderId="7" xfId="0" applyNumberFormat="1" applyFont="1" applyBorder="1" applyAlignment="1">
      <alignment horizontal="center" vertical="center" wrapText="1"/>
    </xf>
    <xf numFmtId="0" fontId="2" fillId="0" borderId="4" xfId="0" applyFont="1" applyBorder="1" applyAlignment="1">
      <alignment horizontal="center" vertical="center" wrapText="1"/>
    </xf>
    <xf numFmtId="168" fontId="28" fillId="0" borderId="7" xfId="0" applyNumberFormat="1" applyFont="1" applyBorder="1" applyAlignment="1">
      <alignment horizontal="center" vertical="center" wrapText="1"/>
    </xf>
    <xf numFmtId="0" fontId="18" fillId="7" borderId="7" xfId="1" applyFill="1" applyBorder="1" applyAlignment="1">
      <alignment vertical="center" wrapText="1"/>
    </xf>
    <xf numFmtId="0" fontId="18" fillId="0" borderId="7" xfId="1" applyBorder="1" applyAlignment="1">
      <alignment vertical="center" wrapText="1"/>
    </xf>
  </cellXfs>
  <cellStyles count="4">
    <cellStyle name="Hipervínculo" xfId="1" builtinId="8"/>
    <cellStyle name="Moneda" xfId="2" builtinId="4"/>
    <cellStyle name="Normal" xfId="0" builtinId="0"/>
    <cellStyle name="Porcentaj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rticulo.mercadolibre.com.co/MCO-2611582070-nzxt-h510-elite-torre-atx-blancanegra-cristal-doble-_JM?matt_tool=19390127&amp;utm_source=chatgpt.com" TargetMode="External"/><Relationship Id="rId2" Type="http://schemas.openxmlformats.org/officeDocument/2006/relationships/hyperlink" Target="https://www.pcware.com.co/xpg-starker-atx-1-fan-cooler-argb-vidrio-templado-x1-1-fan-cooler-standard-fuente-de-poder-xpg-probe-600-watts-certificada-80-plus-bronze-negro-by-adata" TargetMode="External"/><Relationship Id="rId1" Type="http://schemas.openxmlformats.org/officeDocument/2006/relationships/hyperlink" Target="https://www.falabella.com.co/falabella-co/product/148453855/Caja-E-ATX-Thermaltake-H390-TG-ATGB-Black-(750W-80-Plus-Bronze)/148453856"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falabella.com.co/falabella-co/product/148209435/Monitor-LG-24-Fhd-120ghz-24U411A-B-Negro/148209436" TargetMode="External"/><Relationship Id="rId2" Type="http://schemas.openxmlformats.org/officeDocument/2006/relationships/hyperlink" Target="https://www.alkosto.com/monitor-samsung-gamer-24-pulgadas-g320nl-plano-negro/p/8806094113846" TargetMode="External"/><Relationship Id="rId1" Type="http://schemas.openxmlformats.org/officeDocument/2006/relationships/hyperlink" Target="https://www.mercadolibre.com.co/monitor-curvo-27-fhd-diseno-sin-bordes-color-black-100v240v/p/MCO17431651?pdp_filters=category%3AMCO1656&amp;quantity=3"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falabella.com.co/falabella-co/product/144581511/Disco-Solido-Sandisk-Extreme-SSD-V2-1TB-Portable-1050MBs/144581512?utm_source=chatgpt.com" TargetMode="External"/><Relationship Id="rId2" Type="http://schemas.openxmlformats.org/officeDocument/2006/relationships/hyperlink" Target="https://www.falabella.com.co/falabella-co/product/124164036/Disco-solido-ssd-crucial-bx500-2tb-sata-2.5-negro/124164037?utm_source=chatgpt.com" TargetMode="External"/><Relationship Id="rId1" Type="http://schemas.openxmlformats.org/officeDocument/2006/relationships/hyperlink" Target="https://articulo.mercadolibre.com.co/MCO-1592061277-ssd-kingston-nv3-1tb-m2-2280-nvme-pcie-40-gen-4x4-6000mbs-_JM?matt_tool=19390127&amp;utm_source=chatgpt.com&amp;search_layout=stack&amp;type=product&amp;tracking_id=aa8e5d63-5d99-467d-8939-e0e1b492ed9b"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epoka.com/products/dell-c7f2g-500gb-7-2k-6g-sata-2-5?utm_source=chatgpt.com" TargetMode="External"/><Relationship Id="rId2" Type="http://schemas.openxmlformats.org/officeDocument/2006/relationships/hyperlink" Target="https://www.falabella.com.co/falabella-co/product/141017589/Disco-Duro-SEAGATE-2TB-Portatil/141017590?utm_source=chatgpt.com" TargetMode="External"/><Relationship Id="rId1" Type="http://schemas.openxmlformats.org/officeDocument/2006/relationships/hyperlink" Target="https://www.mercadolibre.com.co/disco-duro-interno-western-digital-wd10ezex-1tb-plateado/p/MCO20953266"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articulo.mercadolibre.com.co/MCO-1318522727-servidor-hp-proliant-ml310e-gen8-v2-r16gb-ssd480-xeon-31ghz-_JM" TargetMode="External"/><Relationship Id="rId2" Type="http://schemas.openxmlformats.org/officeDocument/2006/relationships/hyperlink" Target="https://articulo.mercadolibre.com.co/MCO-1318522727-servidor-hp-proliant-ml310e-gen8-v2-r16gb-ssd480-xeon-31ghz-_JM" TargetMode="External"/><Relationship Id="rId1" Type="http://schemas.openxmlformats.org/officeDocument/2006/relationships/hyperlink" Target="https://articulo.mercadolibre.com.co/MCO-1294185577-poweredge-t150-tower-server-intel-xeon-e-2336g16gb2tb-_J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falabella.com.co/falabella-co/product/138046744/Memoria-Ram-Ddr4-Crucial-16-Gb-A-3200-Mhz-Para-Portatil/138046745&amp;currency=COP&amp;utm_medium=product_sync&amp;utm_source=google&amp;utm_content=sag_organic&amp;utm_campaign=sag_organic&amp;srsltid=AfmBOoqET5a1tgCjO-30b6IPBqHaFs9VneMJjDgoKfxpm8XhSgHhZF9ABDc" TargetMode="External"/><Relationship Id="rId2" Type="http://schemas.openxmlformats.org/officeDocument/2006/relationships/hyperlink" Target="https://listado.mercadolibre.com.co/memoria-ddr4-16gb" TargetMode="External"/><Relationship Id="rId1" Type="http://schemas.openxmlformats.org/officeDocument/2006/relationships/hyperlink" Target="https://www.falabella.com.co/falabella-co/product/147131600/Memoria-Corsair-Vengeance-RGB-RS-1x16GB-DDR4-3200-RGB/147131601"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falabella.com.co/falabella-co/product/119560332/Teclado-Gamer-Mecanico-Redragon-K552-Kumara-Iluminacion-RGB-Switch-Red/119560333?kid=shopp254fa&amp;gclsrc=aw.ds&amp;gad_source=1&amp;gad_campaignid=21634415508&amp;gbraid=0AAAAADtuoySDLmwoEx7hlfXkOqc7voOTh&amp;gclid=CjwKCAiAz_DIBhBJEiwAVH2XwCZp6VGsKN-O-DujrWOL0l0nRD9yQSYXd-GzZIbiED1eKz0wnVHHxRoCJxsQAvD_BwE" TargetMode="External"/><Relationship Id="rId2" Type="http://schemas.openxmlformats.org/officeDocument/2006/relationships/hyperlink" Target="https://www.alkosto.com/teclado-hp-alambrico-150-basic-negro/p/196548244195" TargetMode="External"/><Relationship Id="rId1" Type="http://schemas.openxmlformats.org/officeDocument/2006/relationships/hyperlink" Target="https://www.falabella.com.co/falabella-co/product/130536287/Combo-Dell-Wireless-Km3322w-Teclado-+-Mouse/130536288"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falabella.com.co/falabella-co/product/125025600/Mouse-Gamer-Logitech-Inalambrico-Lightspeed-G305-Lila/125025601" TargetMode="External"/><Relationship Id="rId2" Type="http://schemas.openxmlformats.org/officeDocument/2006/relationships/hyperlink" Target="https://www.alkosto.com/mouse-lenovo-alambrico-gaming-m210-negro/p/195892091356?srsltid=AfmBOoqD54-SQKF205LvPgVSM0Z5EzAlA5o5-urA8F4ShRQc9LMJPngTW9FDMVuEjmQqA7VqCEOgNUNA_RsIVY5Wx0gR5DnHe9ASAQ8M8YRAxeVn3Acejqh0tgN8ueo29TNxAiKe2N0G5LNR214HtNh2oR0UTEyycAdXVxbeQUTvX44aLr_mRDw18-JBsM.3bwOiESxFGE2avoolxd1NMyRwKpAc48tTWFOHEkuV94&amp;dib_tag=se&amp;hvadid=673177383265&amp;hvdev=c&amp;hvlocphy=1003659&amp;hvnetw=g&amp;hvqmt=b&amp;hvrand=4444607748343888028&amp;hvtargid=kwd-17170676&amp;hydadcr=750_1015168472&amp;keywords=mouse%2Bfor%2Blaptop&amp;qid=1717016842&amp;sr=8-1-spons&amp;sp_csd=d2lkZ2V0TmFtZT1zcF9hdGY&amp;th=1" TargetMode="External"/><Relationship Id="rId1" Type="http://schemas.openxmlformats.org/officeDocument/2006/relationships/hyperlink" Target="https://www.mercadolibre.com.co/mouse-gamer-vertical-inalambrico-recargable-weibo-wb-881-negro/p/MCO16051104?pdp_filters=item_id:MCO2027339616"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systorecolombia.com/windows/643-microsoft-windows-10-profesional-a-64-bits-usb-transferible-fqc-08788.html" TargetMode="External"/><Relationship Id="rId2" Type="http://schemas.openxmlformats.org/officeDocument/2006/relationships/hyperlink" Target="https://systorecolombia.com/windows/942-microsoft-windows-11-profesional-ggk-kit-de-legalizacion-64-bits-oem-4yr-00229.html" TargetMode="External"/><Relationship Id="rId1" Type="http://schemas.openxmlformats.org/officeDocument/2006/relationships/hyperlink" Target="https://systorecolombia.com/59-windows"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www.microsoft.com/es-cl/d/suscripcion-a-visual-studio-enterprise/dg7gmgf0dst4" TargetMode="External"/><Relationship Id="rId1" Type="http://schemas.openxmlformats.org/officeDocument/2006/relationships/hyperlink" Target="https://visualstudio.microsoft.com/es/vs/pricing/"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frontier.com.co/licencia-microsoft-windows-11-pro-3264-esd?srsltid=AfmBOoreXM9wGaa2mHxiX4JQL8g8RJf43De_3laEirrVbWTutidvMXIL" TargetMode="External"/><Relationship Id="rId2" Type="http://schemas.openxmlformats.org/officeDocument/2006/relationships/hyperlink" Target="https://www.microsoft.com/es-co/d/windows-11-pro/dg7gmgf0d8h4" TargetMode="External"/><Relationship Id="rId1" Type="http://schemas.openxmlformats.org/officeDocument/2006/relationships/hyperlink" Target="https://lasus.com.co/es/licencia-de-producto-en-linea-microsoft-win-pro-11-64bit?srsltid=AfmBOopUt8emgqOdPYcTXWV-Dpo-nWe2JeIUTcbsxbhA_v3l7eOFfJM0"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microsoft.com/es-mx/sql-server/sql-server-2022-pricing" TargetMode="External"/><Relationship Id="rId2" Type="http://schemas.openxmlformats.org/officeDocument/2006/relationships/hyperlink" Target="https://latinkeys.com/colombia/producto/sql-server-2022-standard-64-bits-8-cores-cals-ilimitadas/?utm_source=chatgpt.com" TargetMode="External"/><Relationship Id="rId1" Type="http://schemas.openxmlformats.org/officeDocument/2006/relationships/hyperlink" Target="https://systorecolombia.com/server/252-licencia-sql-server-standard-2019-perpetua-dg7gmgf0fkx9.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89" zoomScaleNormal="89" workbookViewId="0">
      <selection activeCell="D9" sqref="D9"/>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1"/>
    </row>
    <row r="2" spans="1:26" ht="27.75" customHeight="1">
      <c r="D2" s="111" t="s">
        <v>0</v>
      </c>
      <c r="E2" s="112"/>
      <c r="F2" s="112"/>
      <c r="G2" s="112"/>
      <c r="H2" s="112"/>
    </row>
    <row r="3" spans="1:26" ht="12.75" customHeight="1"/>
    <row r="4" spans="1:26" ht="12.75" customHeight="1"/>
    <row r="5" spans="1:26" ht="43.5" customHeight="1">
      <c r="A5" s="113" t="s">
        <v>1</v>
      </c>
      <c r="B5" s="114"/>
      <c r="C5" s="114"/>
      <c r="D5" s="114"/>
      <c r="E5" s="114"/>
      <c r="F5" s="114"/>
      <c r="G5" s="114"/>
      <c r="H5" s="114"/>
      <c r="I5" s="114"/>
      <c r="J5" s="115"/>
    </row>
    <row r="6" spans="1:26" ht="15.75" customHeight="1"/>
    <row r="7" spans="1:26" ht="75.75" customHeight="1">
      <c r="A7" s="2" t="s">
        <v>2</v>
      </c>
      <c r="B7" s="3" t="s">
        <v>3</v>
      </c>
      <c r="C7" s="3" t="s">
        <v>4</v>
      </c>
      <c r="D7" s="3" t="s">
        <v>5</v>
      </c>
      <c r="E7" s="3" t="s">
        <v>6</v>
      </c>
      <c r="F7" s="4" t="s">
        <v>7</v>
      </c>
      <c r="G7" s="5" t="s">
        <v>8</v>
      </c>
      <c r="H7" s="3" t="s">
        <v>9</v>
      </c>
      <c r="I7" s="3" t="s">
        <v>10</v>
      </c>
      <c r="J7" s="3" t="s">
        <v>11</v>
      </c>
      <c r="K7" s="6"/>
      <c r="L7" s="6"/>
      <c r="M7" s="6"/>
      <c r="N7" s="6"/>
      <c r="O7" s="6"/>
      <c r="P7" s="6"/>
      <c r="Q7" s="6"/>
      <c r="R7" s="6"/>
      <c r="S7" s="6"/>
      <c r="T7" s="6"/>
      <c r="U7" s="6"/>
      <c r="V7" s="6"/>
      <c r="W7" s="6"/>
      <c r="X7" s="6"/>
      <c r="Y7" s="6"/>
      <c r="Z7" s="6"/>
    </row>
    <row r="8" spans="1:26" ht="50.25" customHeight="1">
      <c r="A8" s="7" t="s">
        <v>12</v>
      </c>
      <c r="B8" s="19" t="s">
        <v>129</v>
      </c>
      <c r="C8" s="20" t="s">
        <v>132</v>
      </c>
      <c r="D8" s="21" t="s">
        <v>99</v>
      </c>
      <c r="E8" s="22">
        <v>599000</v>
      </c>
      <c r="F8" s="22">
        <v>135419</v>
      </c>
      <c r="G8" s="23">
        <f>(E8+F8)/3900</f>
        <v>188.3125641025641</v>
      </c>
      <c r="H8" s="97">
        <f>G8*3900</f>
        <v>734419</v>
      </c>
      <c r="I8" s="8" t="s">
        <v>14</v>
      </c>
      <c r="J8" s="27" t="s">
        <v>100</v>
      </c>
    </row>
    <row r="9" spans="1:26" ht="50.25" customHeight="1">
      <c r="A9" s="7" t="s">
        <v>15</v>
      </c>
      <c r="B9" s="24" t="s">
        <v>130</v>
      </c>
      <c r="C9" s="20" t="s">
        <v>16</v>
      </c>
      <c r="D9" s="25" t="s">
        <v>96</v>
      </c>
      <c r="E9" s="22">
        <v>320000</v>
      </c>
      <c r="F9" s="22">
        <v>112098.1</v>
      </c>
      <c r="G9" s="23">
        <f>(E9+F9)/3900</f>
        <v>110.79438461538462</v>
      </c>
      <c r="H9" s="97">
        <f>G9*3900</f>
        <v>432098.1</v>
      </c>
      <c r="I9" s="8" t="s">
        <v>14</v>
      </c>
      <c r="J9" s="28" t="s">
        <v>17</v>
      </c>
    </row>
    <row r="10" spans="1:26" ht="50.25" customHeight="1">
      <c r="A10" s="7" t="s">
        <v>18</v>
      </c>
      <c r="B10" s="19" t="s">
        <v>131</v>
      </c>
      <c r="C10" s="20" t="s">
        <v>98</v>
      </c>
      <c r="D10" s="26" t="s">
        <v>97</v>
      </c>
      <c r="E10" s="22">
        <v>169480</v>
      </c>
      <c r="F10" s="22">
        <v>169480</v>
      </c>
      <c r="G10" s="23">
        <f>(E10+F10)/3900</f>
        <v>86.912820512820517</v>
      </c>
      <c r="H10" s="97">
        <f>G10*3900</f>
        <v>338960</v>
      </c>
      <c r="I10" s="8" t="s">
        <v>14</v>
      </c>
      <c r="J10" s="29" t="s">
        <v>19</v>
      </c>
    </row>
    <row r="11" spans="1:26" ht="15" hidden="1" customHeight="1">
      <c r="A11" s="10"/>
      <c r="B11" s="11"/>
      <c r="C11" s="11"/>
      <c r="D11" s="11"/>
      <c r="E11" s="11"/>
      <c r="F11" s="11"/>
      <c r="G11" s="11"/>
      <c r="H11" s="11"/>
      <c r="I11" s="11"/>
      <c r="J11" s="11"/>
    </row>
    <row r="12" spans="1:26" ht="12.75" customHeight="1"/>
    <row r="13" spans="1:26" ht="138.75" customHeight="1">
      <c r="A13" s="116" t="s">
        <v>20</v>
      </c>
      <c r="B13" s="114"/>
      <c r="C13" s="114"/>
      <c r="D13" s="114"/>
      <c r="E13" s="114"/>
      <c r="F13" s="114"/>
      <c r="G13" s="114"/>
      <c r="H13" s="114"/>
      <c r="I13" s="114"/>
      <c r="J13" s="115"/>
    </row>
    <row r="14" spans="1:26" ht="12.75" customHeight="1"/>
    <row r="15" spans="1:26" ht="75" customHeight="1">
      <c r="A15" s="116" t="s">
        <v>21</v>
      </c>
      <c r="B15" s="114"/>
      <c r="C15" s="114"/>
      <c r="D15" s="114"/>
      <c r="E15" s="114"/>
      <c r="F15" s="114"/>
      <c r="G15" s="114"/>
      <c r="H15" s="114"/>
      <c r="I15" s="114"/>
      <c r="J15" s="115"/>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373E1F80-BA32-448D-BE5B-05D945CEE1D5}"/>
    <hyperlink ref="C9" r:id="rId2" xr:uid="{0F166E24-F2D9-43A4-928B-3CE849188B97}"/>
    <hyperlink ref="C10" r:id="rId3" xr:uid="{2CD86F92-7A48-4F3C-B177-C4C445072F16}"/>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7" workbookViewId="0">
      <selection activeCell="B9" sqref="B9"/>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1" t="s">
        <v>0</v>
      </c>
      <c r="E2" s="112"/>
      <c r="F2" s="112"/>
      <c r="G2" s="112"/>
      <c r="H2" s="112"/>
    </row>
    <row r="3" spans="1:26" ht="12.75" customHeight="1"/>
    <row r="4" spans="1:26" ht="12.75" customHeight="1"/>
    <row r="5" spans="1:26" ht="43.5" customHeight="1">
      <c r="A5" s="113" t="s">
        <v>1</v>
      </c>
      <c r="B5" s="114"/>
      <c r="C5" s="114"/>
      <c r="D5" s="114"/>
      <c r="E5" s="114"/>
      <c r="F5" s="114"/>
      <c r="G5" s="114"/>
      <c r="H5" s="114"/>
      <c r="I5" s="114"/>
      <c r="J5" s="115"/>
    </row>
    <row r="6" spans="1:26" ht="15.75" customHeight="1"/>
    <row r="7" spans="1:26" ht="75.75" customHeight="1">
      <c r="A7" s="32" t="s">
        <v>2</v>
      </c>
      <c r="B7" s="33" t="s">
        <v>22</v>
      </c>
      <c r="C7" s="33" t="s">
        <v>23</v>
      </c>
      <c r="D7" s="33" t="s">
        <v>24</v>
      </c>
      <c r="E7" s="33" t="s">
        <v>25</v>
      </c>
      <c r="F7" s="34" t="s">
        <v>26</v>
      </c>
      <c r="G7" s="35" t="s">
        <v>27</v>
      </c>
      <c r="H7" s="33" t="s">
        <v>9</v>
      </c>
      <c r="I7" s="33" t="s">
        <v>28</v>
      </c>
      <c r="J7" s="33" t="s">
        <v>29</v>
      </c>
      <c r="K7" s="6"/>
      <c r="L7" s="6"/>
      <c r="M7" s="6"/>
      <c r="N7" s="6"/>
      <c r="O7" s="6"/>
      <c r="P7" s="6"/>
      <c r="Q7" s="6"/>
      <c r="R7" s="6"/>
      <c r="S7" s="6"/>
      <c r="T7" s="6"/>
      <c r="U7" s="6"/>
      <c r="V7" s="6"/>
      <c r="W7" s="6"/>
      <c r="X7" s="6"/>
      <c r="Y7" s="6"/>
      <c r="Z7" s="6"/>
    </row>
    <row r="8" spans="1:26" ht="75" customHeight="1">
      <c r="A8" s="33" t="s">
        <v>12</v>
      </c>
      <c r="B8" s="36" t="s">
        <v>30</v>
      </c>
      <c r="C8" s="37" t="s">
        <v>31</v>
      </c>
      <c r="D8" s="38" t="s">
        <v>90</v>
      </c>
      <c r="E8" s="39">
        <v>538485</v>
      </c>
      <c r="F8" s="39">
        <v>135907</v>
      </c>
      <c r="G8" s="40">
        <f>(E8+F8)/3900</f>
        <v>172.92102564102564</v>
      </c>
      <c r="H8" s="98">
        <f>G8*3900</f>
        <v>674392</v>
      </c>
      <c r="I8" s="38" t="s">
        <v>14</v>
      </c>
      <c r="J8" s="41" t="s">
        <v>91</v>
      </c>
    </row>
    <row r="9" spans="1:26" ht="50.25" customHeight="1">
      <c r="A9" s="33" t="s">
        <v>15</v>
      </c>
      <c r="B9" s="36" t="s">
        <v>130</v>
      </c>
      <c r="C9" s="42" t="s">
        <v>32</v>
      </c>
      <c r="D9" s="43" t="s">
        <v>92</v>
      </c>
      <c r="E9" s="39">
        <v>409990</v>
      </c>
      <c r="F9" s="39">
        <v>132810</v>
      </c>
      <c r="G9" s="40">
        <f>(E9+F9)/3900</f>
        <v>139.17948717948718</v>
      </c>
      <c r="H9" s="98">
        <f>G9*3900</f>
        <v>542800</v>
      </c>
      <c r="I9" s="38" t="s">
        <v>14</v>
      </c>
      <c r="J9" s="44" t="s">
        <v>93</v>
      </c>
    </row>
    <row r="10" spans="1:26" ht="50.25" customHeight="1">
      <c r="A10" s="33" t="s">
        <v>18</v>
      </c>
      <c r="B10" s="36" t="s">
        <v>95</v>
      </c>
      <c r="C10" s="20" t="s">
        <v>133</v>
      </c>
      <c r="D10" s="45" t="s">
        <v>94</v>
      </c>
      <c r="E10" s="46">
        <v>493900</v>
      </c>
      <c r="F10" s="39">
        <v>227981</v>
      </c>
      <c r="G10" s="40">
        <f>(E10+F10)/3900</f>
        <v>185.09769230769231</v>
      </c>
      <c r="H10" s="98">
        <f>G10*3900</f>
        <v>721881</v>
      </c>
      <c r="I10" s="38" t="s">
        <v>14</v>
      </c>
      <c r="J10" s="44" t="s">
        <v>33</v>
      </c>
    </row>
    <row r="11" spans="1:26" ht="15" hidden="1" customHeight="1">
      <c r="A11" s="10"/>
      <c r="B11" s="11"/>
      <c r="C11" s="11"/>
      <c r="D11" s="11"/>
      <c r="E11" s="11"/>
      <c r="F11" s="11"/>
      <c r="G11" s="11"/>
      <c r="H11" s="11"/>
      <c r="I11" s="11"/>
      <c r="J11" s="11"/>
    </row>
    <row r="12" spans="1:26" ht="12.75" customHeight="1"/>
    <row r="13" spans="1:26" ht="138.75" customHeight="1">
      <c r="A13" s="116" t="s">
        <v>34</v>
      </c>
      <c r="B13" s="114"/>
      <c r="C13" s="114"/>
      <c r="D13" s="114"/>
      <c r="E13" s="114"/>
      <c r="F13" s="114"/>
      <c r="G13" s="114"/>
      <c r="H13" s="114"/>
      <c r="I13" s="114"/>
      <c r="J13" s="115"/>
    </row>
    <row r="14" spans="1:26" ht="12.75" customHeight="1"/>
    <row r="15" spans="1:26" ht="75" customHeight="1">
      <c r="A15" s="116" t="s">
        <v>21</v>
      </c>
      <c r="B15" s="114"/>
      <c r="C15" s="114"/>
      <c r="D15" s="114"/>
      <c r="E15" s="114"/>
      <c r="F15" s="114"/>
      <c r="G15" s="114"/>
      <c r="H15" s="114"/>
      <c r="I15" s="114"/>
      <c r="J15" s="115"/>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46E337D8-923B-46BB-8785-251C5BB52B26}"/>
    <hyperlink ref="C9" r:id="rId2" xr:uid="{A3A78349-1527-4A13-B63A-4D8F9F91BDAC}"/>
    <hyperlink ref="C10" r:id="rId3" xr:uid="{81FB0D03-AC65-49F4-9990-54515B8A2D67}"/>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6" workbookViewId="0">
      <selection activeCell="D9" sqref="D9"/>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1" t="s">
        <v>0</v>
      </c>
      <c r="E2" s="112"/>
      <c r="F2" s="112"/>
      <c r="G2" s="112"/>
      <c r="H2" s="112"/>
    </row>
    <row r="3" spans="1:26" ht="12.75" customHeight="1"/>
    <row r="4" spans="1:26" ht="12.75" customHeight="1"/>
    <row r="5" spans="1:26" ht="43.5" customHeight="1">
      <c r="A5" s="113" t="s">
        <v>1</v>
      </c>
      <c r="B5" s="114"/>
      <c r="C5" s="114"/>
      <c r="D5" s="114"/>
      <c r="E5" s="114"/>
      <c r="F5" s="114"/>
      <c r="G5" s="114"/>
      <c r="H5" s="114"/>
      <c r="I5" s="114"/>
      <c r="J5" s="115"/>
    </row>
    <row r="6" spans="1:26" ht="15.75" customHeight="1"/>
    <row r="7" spans="1:26" ht="75.75" customHeight="1">
      <c r="A7" s="13" t="s">
        <v>2</v>
      </c>
      <c r="B7" s="14" t="s">
        <v>3</v>
      </c>
      <c r="C7" s="14" t="s">
        <v>4</v>
      </c>
      <c r="D7" s="14" t="s">
        <v>5</v>
      </c>
      <c r="E7" s="14" t="s">
        <v>35</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17" t="s">
        <v>12</v>
      </c>
      <c r="B8" s="47" t="s">
        <v>13</v>
      </c>
      <c r="C8" s="108" t="s">
        <v>101</v>
      </c>
      <c r="D8" s="49" t="s">
        <v>104</v>
      </c>
      <c r="E8" s="50">
        <v>360905</v>
      </c>
      <c r="F8" s="51">
        <v>30381</v>
      </c>
      <c r="G8" s="52">
        <f>(E8+F8)/3900</f>
        <v>100.32974358974359</v>
      </c>
      <c r="H8" s="99">
        <f>G8*3900</f>
        <v>391286</v>
      </c>
      <c r="I8" s="47" t="s">
        <v>36</v>
      </c>
      <c r="J8" s="53" t="s">
        <v>102</v>
      </c>
    </row>
    <row r="9" spans="1:26" ht="77.25" customHeight="1">
      <c r="A9" s="17" t="s">
        <v>15</v>
      </c>
      <c r="B9" s="54" t="s">
        <v>37</v>
      </c>
      <c r="C9" s="108" t="s">
        <v>105</v>
      </c>
      <c r="D9" s="55" t="s">
        <v>103</v>
      </c>
      <c r="E9" s="50">
        <v>649900</v>
      </c>
      <c r="F9" s="47">
        <v>104481</v>
      </c>
      <c r="G9" s="52">
        <f>(E9+F9)/3900</f>
        <v>193.43102564102563</v>
      </c>
      <c r="H9" s="99">
        <f>G9*3900</f>
        <v>754381</v>
      </c>
      <c r="I9" s="47" t="s">
        <v>36</v>
      </c>
      <c r="J9" s="109" t="s">
        <v>106</v>
      </c>
    </row>
    <row r="10" spans="1:26" ht="50.25" customHeight="1">
      <c r="A10" s="17" t="s">
        <v>18</v>
      </c>
      <c r="B10" s="117" t="s">
        <v>37</v>
      </c>
      <c r="C10" s="108" t="s">
        <v>109</v>
      </c>
      <c r="D10" s="117" t="s">
        <v>107</v>
      </c>
      <c r="E10" s="118">
        <v>494300</v>
      </c>
      <c r="F10" s="117">
        <v>57931</v>
      </c>
      <c r="G10" s="52">
        <f>(E10+F10)/3900</f>
        <v>141.59769230769231</v>
      </c>
      <c r="H10" s="99">
        <f>G10*3900</f>
        <v>552231</v>
      </c>
      <c r="I10" s="47" t="s">
        <v>36</v>
      </c>
      <c r="J10" s="109" t="s">
        <v>108</v>
      </c>
    </row>
    <row r="11" spans="1:26" ht="15" hidden="1" customHeight="1">
      <c r="A11" s="18"/>
      <c r="B11" s="117"/>
      <c r="C11" s="47">
        <v>3008921440</v>
      </c>
      <c r="D11" s="117"/>
      <c r="E11" s="118"/>
      <c r="F11" s="117"/>
      <c r="G11" s="56"/>
      <c r="H11" s="56"/>
      <c r="I11" s="56"/>
      <c r="J11" s="56"/>
    </row>
    <row r="12" spans="1:26" ht="12.75" customHeight="1"/>
    <row r="13" spans="1:26" ht="138.75" customHeight="1">
      <c r="A13" s="116" t="s">
        <v>34</v>
      </c>
      <c r="B13" s="114"/>
      <c r="C13" s="114"/>
      <c r="D13" s="114"/>
      <c r="E13" s="114"/>
      <c r="F13" s="114"/>
      <c r="G13" s="114"/>
      <c r="H13" s="114"/>
      <c r="I13" s="114"/>
      <c r="J13" s="115"/>
    </row>
    <row r="14" spans="1:26" ht="12.75" customHeight="1"/>
    <row r="15" spans="1:26" ht="75" customHeight="1">
      <c r="A15" s="116" t="s">
        <v>21</v>
      </c>
      <c r="B15" s="114"/>
      <c r="C15" s="114"/>
      <c r="D15" s="114"/>
      <c r="E15" s="114"/>
      <c r="F15" s="114"/>
      <c r="G15" s="114"/>
      <c r="H15" s="114"/>
      <c r="I15" s="114"/>
      <c r="J15" s="115"/>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D2:H2"/>
    <mergeCell ref="A5:J5"/>
    <mergeCell ref="A13:J13"/>
    <mergeCell ref="A15:J15"/>
    <mergeCell ref="B10:B11"/>
    <mergeCell ref="D10:D11"/>
    <mergeCell ref="E10:E11"/>
    <mergeCell ref="F10:F11"/>
  </mergeCells>
  <hyperlinks>
    <hyperlink ref="C8" r:id="rId1" xr:uid="{B77C5CC6-26B3-4A73-8BA8-725EF8309168}"/>
    <hyperlink ref="C9" r:id="rId2" xr:uid="{DA793C13-1FBC-44D6-A78F-7A3496FC7357}"/>
    <hyperlink ref="C10" r:id="rId3" xr:uid="{D5930E83-A788-42E1-A821-E2750DE4D83E}"/>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3" workbookViewId="0">
      <selection activeCell="D7" sqref="D7"/>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1" t="s">
        <v>0</v>
      </c>
      <c r="E2" s="112"/>
      <c r="F2" s="112"/>
      <c r="G2" s="112"/>
      <c r="H2" s="112"/>
    </row>
    <row r="3" spans="1:26" ht="12.75" customHeight="1"/>
    <row r="4" spans="1:26" ht="12.75" customHeight="1"/>
    <row r="5" spans="1:26" ht="43.5" customHeight="1">
      <c r="A5" s="113" t="s">
        <v>1</v>
      </c>
      <c r="B5" s="114"/>
      <c r="C5" s="114"/>
      <c r="D5" s="114"/>
      <c r="E5" s="114"/>
      <c r="F5" s="114"/>
      <c r="G5" s="114"/>
      <c r="H5" s="114"/>
      <c r="I5" s="114"/>
      <c r="J5" s="115"/>
    </row>
    <row r="6" spans="1:26" ht="15.75" customHeight="1"/>
    <row r="7" spans="1:26" ht="75.75" customHeight="1">
      <c r="A7" s="2" t="s">
        <v>2</v>
      </c>
      <c r="B7" s="14" t="s">
        <v>3</v>
      </c>
      <c r="C7" s="14" t="s">
        <v>4</v>
      </c>
      <c r="D7" s="14" t="s">
        <v>5</v>
      </c>
      <c r="E7" s="14" t="s">
        <v>35</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47" t="s">
        <v>30</v>
      </c>
      <c r="C8" s="108" t="s">
        <v>135</v>
      </c>
      <c r="D8" s="49" t="s">
        <v>110</v>
      </c>
      <c r="E8" s="58">
        <v>168900</v>
      </c>
      <c r="F8" s="59">
        <f>E8*1.19</f>
        <v>200991</v>
      </c>
      <c r="G8" s="57">
        <f>(E8+F8)/3900</f>
        <v>94.843846153846158</v>
      </c>
      <c r="H8" s="99">
        <f>G8*3900</f>
        <v>369891</v>
      </c>
      <c r="I8" s="47" t="s">
        <v>36</v>
      </c>
      <c r="J8" s="49" t="s">
        <v>111</v>
      </c>
    </row>
    <row r="9" spans="1:26" ht="50.25" customHeight="1">
      <c r="A9" s="30" t="s">
        <v>15</v>
      </c>
      <c r="B9" s="47" t="s">
        <v>113</v>
      </c>
      <c r="C9" s="108" t="s">
        <v>115</v>
      </c>
      <c r="D9" s="60" t="s">
        <v>112</v>
      </c>
      <c r="E9" s="58">
        <v>688000</v>
      </c>
      <c r="F9" s="59">
        <f>E9*1.19</f>
        <v>818720</v>
      </c>
      <c r="G9" s="57">
        <f>(E9+F9)/3900</f>
        <v>386.33846153846156</v>
      </c>
      <c r="H9" s="99">
        <f>G9*3900</f>
        <v>1506720</v>
      </c>
      <c r="I9" s="47" t="s">
        <v>36</v>
      </c>
      <c r="J9" s="49" t="s">
        <v>114</v>
      </c>
    </row>
    <row r="10" spans="1:26" ht="50.25" customHeight="1">
      <c r="A10" s="30" t="s">
        <v>18</v>
      </c>
      <c r="B10" s="47" t="s">
        <v>30</v>
      </c>
      <c r="C10" s="108" t="s">
        <v>134</v>
      </c>
      <c r="D10" s="47" t="s">
        <v>116</v>
      </c>
      <c r="E10" s="59">
        <v>495000</v>
      </c>
      <c r="F10" s="59">
        <f>E10*1.19</f>
        <v>589050</v>
      </c>
      <c r="G10" s="57">
        <f>(E10+F10)/3900</f>
        <v>277.96153846153845</v>
      </c>
      <c r="H10" s="99">
        <f>G10*3900</f>
        <v>1084050</v>
      </c>
      <c r="I10" s="47" t="s">
        <v>36</v>
      </c>
      <c r="J10" s="47" t="s">
        <v>117</v>
      </c>
    </row>
    <row r="11" spans="1:26" ht="15" hidden="1" customHeight="1">
      <c r="A11" s="10"/>
      <c r="B11" s="31"/>
      <c r="C11" s="31"/>
      <c r="D11" s="31"/>
      <c r="E11" s="31"/>
      <c r="F11" s="31"/>
      <c r="G11" s="31"/>
      <c r="H11" s="31"/>
      <c r="I11" s="31"/>
      <c r="J11" s="31"/>
    </row>
    <row r="12" spans="1:26" ht="12.75" customHeight="1"/>
    <row r="13" spans="1:26" ht="138.75" customHeight="1">
      <c r="A13" s="116" t="s">
        <v>34</v>
      </c>
      <c r="B13" s="114"/>
      <c r="C13" s="114"/>
      <c r="D13" s="114"/>
      <c r="E13" s="114"/>
      <c r="F13" s="114"/>
      <c r="G13" s="114"/>
      <c r="H13" s="114"/>
      <c r="I13" s="114"/>
      <c r="J13" s="115"/>
    </row>
    <row r="14" spans="1:26" ht="12.75" customHeight="1"/>
    <row r="15" spans="1:26" ht="75" customHeight="1">
      <c r="A15" s="116" t="s">
        <v>21</v>
      </c>
      <c r="B15" s="114"/>
      <c r="C15" s="114"/>
      <c r="D15" s="114"/>
      <c r="E15" s="114"/>
      <c r="F15" s="114"/>
      <c r="G15" s="114"/>
      <c r="H15" s="114"/>
      <c r="I15" s="114"/>
      <c r="J15" s="115"/>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location="polycard_client=search-nordic&amp;search_layout=stack&amp;position=1&amp;type=product&amp;tracking_id=f6a23257-2aaa-49d5-8d32-eb98f416c944&amp;wid=MCO1339638675&amp;sid=search" xr:uid="{44DDFF22-A3B9-421C-A2F1-210FFC9AD665}"/>
    <hyperlink ref="C9" r:id="rId2" xr:uid="{CAFDA41F-B727-423A-B459-563588B654A1}"/>
    <hyperlink ref="C10" r:id="rId3" display="https://epoka.com/products/dell-c7f2g-500gb-7-2k-6g-sata-2-5?utm_source=chatgpt.com" xr:uid="{DA2A853C-D451-489B-916E-EFCAD160D571}"/>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4" workbookViewId="0">
      <selection activeCell="L10" sqref="L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1" t="s">
        <v>0</v>
      </c>
      <c r="E2" s="112"/>
      <c r="F2" s="112"/>
      <c r="G2" s="112"/>
      <c r="H2" s="112"/>
    </row>
    <row r="3" spans="1:26" ht="12.75" customHeight="1"/>
    <row r="4" spans="1:26" ht="12.75" customHeight="1"/>
    <row r="5" spans="1:26" ht="43.5" customHeight="1">
      <c r="A5" s="113" t="s">
        <v>1</v>
      </c>
      <c r="B5" s="114"/>
      <c r="C5" s="114"/>
      <c r="D5" s="114"/>
      <c r="E5" s="114"/>
      <c r="F5" s="114"/>
      <c r="G5" s="114"/>
      <c r="H5" s="114"/>
      <c r="I5" s="114"/>
      <c r="J5" s="115"/>
    </row>
    <row r="6" spans="1:26" ht="15.75" customHeight="1"/>
    <row r="7" spans="1:26" ht="75.75" customHeight="1">
      <c r="A7" s="2" t="s">
        <v>2</v>
      </c>
      <c r="B7" s="14" t="s">
        <v>3</v>
      </c>
      <c r="C7" s="14" t="s">
        <v>4</v>
      </c>
      <c r="D7" s="14" t="s">
        <v>5</v>
      </c>
      <c r="E7" s="14" t="s">
        <v>35</v>
      </c>
      <c r="F7" s="15" t="s">
        <v>7</v>
      </c>
      <c r="G7" s="63"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47" t="s">
        <v>38</v>
      </c>
      <c r="C8" s="48" t="s">
        <v>39</v>
      </c>
      <c r="D8" s="47" t="s">
        <v>40</v>
      </c>
      <c r="E8" s="61">
        <v>8400000</v>
      </c>
      <c r="F8" s="61">
        <f>E8*1.19</f>
        <v>9996000</v>
      </c>
      <c r="G8" s="52">
        <f>(F8+E8)/3900</f>
        <v>4716.9230769230771</v>
      </c>
      <c r="H8" s="99">
        <f>G8*3900</f>
        <v>18396000</v>
      </c>
      <c r="I8" s="47" t="s">
        <v>36</v>
      </c>
      <c r="J8" s="64" t="s">
        <v>41</v>
      </c>
    </row>
    <row r="9" spans="1:26" ht="50.25" customHeight="1">
      <c r="A9" s="30" t="s">
        <v>15</v>
      </c>
      <c r="B9" s="54" t="s">
        <v>13</v>
      </c>
      <c r="C9" s="48" t="s">
        <v>42</v>
      </c>
      <c r="D9" s="49" t="s">
        <v>43</v>
      </c>
      <c r="E9" s="62">
        <v>1199999</v>
      </c>
      <c r="F9" s="61">
        <f>E9*1.19</f>
        <v>1427998.8099999998</v>
      </c>
      <c r="G9" s="52">
        <f>(F9+E9)/3900</f>
        <v>673.84559230769219</v>
      </c>
      <c r="H9" s="99">
        <f>G9*3900</f>
        <v>2627997.8099999996</v>
      </c>
      <c r="I9" s="47" t="s">
        <v>36</v>
      </c>
      <c r="J9" s="49" t="s">
        <v>44</v>
      </c>
    </row>
    <row r="10" spans="1:26" ht="50.25" customHeight="1">
      <c r="A10" s="30" t="s">
        <v>18</v>
      </c>
      <c r="B10" s="47" t="s">
        <v>13</v>
      </c>
      <c r="C10" s="48" t="s">
        <v>42</v>
      </c>
      <c r="D10" s="49" t="s">
        <v>45</v>
      </c>
      <c r="E10" s="62">
        <v>1199999</v>
      </c>
      <c r="F10" s="61">
        <f>E10*1.19</f>
        <v>1427998.8099999998</v>
      </c>
      <c r="G10" s="52">
        <f>(F10+E10)/3900</f>
        <v>673.84559230769219</v>
      </c>
      <c r="H10" s="99">
        <f>G10*3900</f>
        <v>2627997.8099999996</v>
      </c>
      <c r="I10" s="47" t="s">
        <v>36</v>
      </c>
      <c r="J10" s="47" t="s">
        <v>118</v>
      </c>
    </row>
    <row r="11" spans="1:26" ht="15" hidden="1" customHeight="1">
      <c r="A11" s="10"/>
      <c r="B11" s="31"/>
      <c r="C11" s="31"/>
      <c r="D11" s="31"/>
      <c r="E11" s="31"/>
      <c r="F11" s="31"/>
      <c r="G11" s="31"/>
      <c r="H11" s="31"/>
      <c r="I11" s="31"/>
      <c r="J11" s="31"/>
    </row>
    <row r="12" spans="1:26" ht="12.75" customHeight="1"/>
    <row r="13" spans="1:26" ht="138.75" customHeight="1">
      <c r="A13" s="116" t="s">
        <v>34</v>
      </c>
      <c r="B13" s="114"/>
      <c r="C13" s="114"/>
      <c r="D13" s="114"/>
      <c r="E13" s="114"/>
      <c r="F13" s="114"/>
      <c r="G13" s="114"/>
      <c r="H13" s="114"/>
      <c r="I13" s="114"/>
      <c r="J13" s="115"/>
    </row>
    <row r="14" spans="1:26" ht="12.75" customHeight="1"/>
    <row r="15" spans="1:26" ht="75" customHeight="1">
      <c r="A15" s="116" t="s">
        <v>21</v>
      </c>
      <c r="B15" s="114"/>
      <c r="C15" s="114"/>
      <c r="D15" s="114"/>
      <c r="E15" s="114"/>
      <c r="F15" s="114"/>
      <c r="G15" s="114"/>
      <c r="H15" s="114"/>
      <c r="I15" s="114"/>
      <c r="J15" s="115"/>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location="position=8&amp;search_layout=stack&amp;type=item&amp;tracking_id=6ce23d24-4588-4653-bb99-db7e1509e5aa" display="https://articulo.mercadolibre.com.co/MCO-1294185577-poweredge-t150-tower-server-intel-xeon-e-2336g16gb2tb-_JM - position=8&amp;search_layout=stack&amp;type=item&amp;tracking_id=6ce23d24-4588-4653-bb99-db7e1509e5aa" xr:uid="{7206AE03-F5B3-4ECD-A888-89E458E43E3C}"/>
    <hyperlink ref="C9" r:id="rId2" location="position=4&amp;search_layout=stack&amp;type=item&amp;tracking_id=aa17d476-2270-48e4-afc3-371dfada513d" display="https://articulo.mercadolibre.com.co/MCO-1318522727-servidor-hp-proliant-ml310e-gen8-v2-r16gb-ssd480-xeon-31ghz-_JM - position=4&amp;search_layout=stack&amp;type=item&amp;tracking_id=aa17d476-2270-48e4-afc3-371dfada513d" xr:uid="{C29807A1-9882-4265-AFFD-C8C07BB1D48E}"/>
    <hyperlink ref="C10" r:id="rId3" location="position=4&amp;search_layout=stack&amp;type=item&amp;tracking_id=aa17d476-2270-48e4-afc3-371dfada513d" display="https://articulo.mercadolibre.com.co/MCO-1318522727-servidor-hp-proliant-ml310e-gen8-v2-r16gb-ssd480-xeon-31ghz-_JM - position=4&amp;search_layout=stack&amp;type=item&amp;tracking_id=aa17d476-2270-48e4-afc3-371dfada513d" xr:uid="{8DD91B22-FEBB-4BF4-AFE6-6F58C5743119}"/>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4" workbookViewId="0">
      <selection activeCell="E8" sqref="E8"/>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1" t="s">
        <v>0</v>
      </c>
      <c r="E2" s="112"/>
      <c r="F2" s="112"/>
      <c r="G2" s="112"/>
      <c r="H2" s="112"/>
    </row>
    <row r="3" spans="1:26" ht="12.75" customHeight="1"/>
    <row r="4" spans="1:26" ht="12.75" customHeight="1"/>
    <row r="5" spans="1:26" ht="43.5" customHeight="1">
      <c r="A5" s="113" t="s">
        <v>1</v>
      </c>
      <c r="B5" s="114"/>
      <c r="C5" s="114"/>
      <c r="D5" s="114"/>
      <c r="E5" s="114"/>
      <c r="F5" s="114"/>
      <c r="G5" s="114"/>
      <c r="H5" s="114"/>
      <c r="I5" s="114"/>
      <c r="J5" s="115"/>
    </row>
    <row r="6" spans="1:26" ht="15.75" customHeight="1"/>
    <row r="7" spans="1:26" ht="75.75" customHeight="1">
      <c r="A7" s="2" t="s">
        <v>2</v>
      </c>
      <c r="B7" s="14" t="s">
        <v>3</v>
      </c>
      <c r="C7" s="14" t="s">
        <v>4</v>
      </c>
      <c r="D7" s="14" t="s">
        <v>5</v>
      </c>
      <c r="E7" s="14" t="s">
        <v>35</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47" t="s">
        <v>95</v>
      </c>
      <c r="C8" s="108" t="s">
        <v>137</v>
      </c>
      <c r="D8" s="54" t="s">
        <v>46</v>
      </c>
      <c r="E8" s="59">
        <v>474900</v>
      </c>
      <c r="F8" s="59">
        <f>E8*1.19</f>
        <v>565131</v>
      </c>
      <c r="G8" s="65">
        <f>(F8+E8)/3900</f>
        <v>266.67461538461538</v>
      </c>
      <c r="H8" s="99">
        <f>G8*3900</f>
        <v>1040031</v>
      </c>
      <c r="I8" s="47" t="s">
        <v>14</v>
      </c>
      <c r="J8" s="49" t="s">
        <v>47</v>
      </c>
    </row>
    <row r="9" spans="1:26" ht="50.25" customHeight="1">
      <c r="A9" s="30" t="s">
        <v>15</v>
      </c>
      <c r="B9" s="54" t="s">
        <v>48</v>
      </c>
      <c r="C9" s="48" t="s">
        <v>49</v>
      </c>
      <c r="D9" s="49" t="s">
        <v>50</v>
      </c>
      <c r="E9" s="58">
        <v>180039</v>
      </c>
      <c r="F9" s="59">
        <f>E9*1.19</f>
        <v>214246.41</v>
      </c>
      <c r="G9" s="65">
        <f>(F9+E9)/3900</f>
        <v>101.09882307692308</v>
      </c>
      <c r="H9" s="99">
        <f>G9*3900</f>
        <v>394285.41000000003</v>
      </c>
      <c r="I9" s="47" t="s">
        <v>14</v>
      </c>
      <c r="J9" s="49" t="s">
        <v>51</v>
      </c>
    </row>
    <row r="10" spans="1:26" ht="50.25" customHeight="1">
      <c r="A10" s="30" t="s">
        <v>18</v>
      </c>
      <c r="B10" s="47" t="s">
        <v>95</v>
      </c>
      <c r="C10" s="108" t="s">
        <v>136</v>
      </c>
      <c r="D10" s="66" t="s">
        <v>52</v>
      </c>
      <c r="E10" s="58">
        <v>260000</v>
      </c>
      <c r="F10" s="59">
        <f>E10*1.19</f>
        <v>309400</v>
      </c>
      <c r="G10" s="65">
        <f>(F10+E10)/3900</f>
        <v>146</v>
      </c>
      <c r="H10" s="99">
        <f>G10*3900</f>
        <v>569400</v>
      </c>
      <c r="I10" s="47" t="s">
        <v>14</v>
      </c>
      <c r="J10" s="67" t="s">
        <v>53</v>
      </c>
    </row>
    <row r="11" spans="1:26" ht="15" hidden="1" customHeight="1">
      <c r="A11" s="10"/>
      <c r="B11" s="31"/>
      <c r="C11" s="31"/>
      <c r="D11" s="31"/>
      <c r="E11" s="31"/>
      <c r="F11" s="31"/>
      <c r="G11" s="31"/>
      <c r="H11" s="31"/>
      <c r="I11" s="31"/>
      <c r="J11" s="31"/>
    </row>
    <row r="12" spans="1:26" ht="12.75" customHeight="1"/>
    <row r="13" spans="1:26" ht="138.75" customHeight="1">
      <c r="A13" s="116" t="s">
        <v>34</v>
      </c>
      <c r="B13" s="114"/>
      <c r="C13" s="114"/>
      <c r="D13" s="114"/>
      <c r="E13" s="114"/>
      <c r="F13" s="114"/>
      <c r="G13" s="114"/>
      <c r="H13" s="114"/>
      <c r="I13" s="114"/>
      <c r="J13" s="115"/>
    </row>
    <row r="14" spans="1:26" ht="12.75" customHeight="1"/>
    <row r="15" spans="1:26" ht="75" customHeight="1">
      <c r="A15" s="116" t="s">
        <v>21</v>
      </c>
      <c r="B15" s="114"/>
      <c r="C15" s="114"/>
      <c r="D15" s="114"/>
      <c r="E15" s="114"/>
      <c r="F15" s="114"/>
      <c r="G15" s="114"/>
      <c r="H15" s="114"/>
      <c r="I15" s="114"/>
      <c r="J15" s="115"/>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925E4C2D-BC5E-406D-A8FA-29F3ED65A994}"/>
    <hyperlink ref="C9" r:id="rId2" xr:uid="{46B35F93-382A-42AF-93F1-4183F69B84B6}"/>
    <hyperlink ref="C10" r:id="rId3" display="https://www.falabella.com.co/falabella-co/product/138046744/Memoria-Ram-Ddr4-Crucial-16-Gb-A-3200-Mhz-Para-Portatil/138046745&amp;currency=COP&amp;utm_medium=product_sync&amp;utm_source=google&amp;utm_content=sag_organic&amp;utm_campaign=sag_organic&amp;srsltid=AfmBOoqET5a1tgCjO-30b6IPBqHaFs9VneMJjDgoKfxpm8XhSgHhZF9ABDc" xr:uid="{822A23A1-7567-45F3-A8CB-8F72CF7B3A24}"/>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opLeftCell="A4" workbookViewId="0">
      <selection activeCell="A13" sqref="A13:J13"/>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1" t="s">
        <v>0</v>
      </c>
      <c r="E2" s="112"/>
      <c r="F2" s="112"/>
      <c r="G2" s="112"/>
      <c r="H2" s="112"/>
    </row>
    <row r="3" spans="1:26" ht="12.75" customHeight="1"/>
    <row r="4" spans="1:26" ht="12.75" customHeight="1"/>
    <row r="5" spans="1:26" ht="43.5" customHeight="1">
      <c r="A5" s="119">
        <v>0</v>
      </c>
      <c r="B5" s="114"/>
      <c r="C5" s="114"/>
      <c r="D5" s="114"/>
      <c r="E5" s="114"/>
      <c r="F5" s="114"/>
      <c r="G5" s="114"/>
      <c r="H5" s="114"/>
      <c r="I5" s="114"/>
      <c r="J5" s="115"/>
    </row>
    <row r="6" spans="1:26" ht="15.75" customHeight="1"/>
    <row r="7" spans="1:26" ht="75.75" customHeight="1">
      <c r="A7" s="2" t="s">
        <v>2</v>
      </c>
      <c r="B7" s="14" t="s">
        <v>3</v>
      </c>
      <c r="C7" s="14" t="s">
        <v>4</v>
      </c>
      <c r="D7" s="14" t="s">
        <v>5</v>
      </c>
      <c r="E7" s="14" t="s">
        <v>35</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47" t="s">
        <v>37</v>
      </c>
      <c r="C8" s="48" t="s">
        <v>54</v>
      </c>
      <c r="D8" s="55" t="s">
        <v>55</v>
      </c>
      <c r="E8" s="74">
        <v>84888</v>
      </c>
      <c r="F8" s="59">
        <f>E8*1.19</f>
        <v>101016.72</v>
      </c>
      <c r="G8" s="52">
        <f>(E8+F8)/3900</f>
        <v>47.667876923076925</v>
      </c>
      <c r="H8" s="99">
        <f>G8*3900</f>
        <v>185904.72</v>
      </c>
      <c r="I8" s="47" t="s">
        <v>14</v>
      </c>
      <c r="J8" s="69" t="s">
        <v>56</v>
      </c>
    </row>
    <row r="9" spans="1:26" ht="50.25" customHeight="1">
      <c r="A9" s="30" t="s">
        <v>15</v>
      </c>
      <c r="B9" s="54" t="s">
        <v>57</v>
      </c>
      <c r="C9" s="48" t="s">
        <v>58</v>
      </c>
      <c r="D9" s="60" t="s">
        <v>59</v>
      </c>
      <c r="E9" s="70">
        <v>59900</v>
      </c>
      <c r="F9" s="59">
        <f>E9*1.19</f>
        <v>71281</v>
      </c>
      <c r="G9" s="52">
        <f>(E9+F9)/3900</f>
        <v>33.636153846153846</v>
      </c>
      <c r="H9" s="99">
        <f>G9*3900</f>
        <v>131181</v>
      </c>
      <c r="I9" s="47" t="s">
        <v>14</v>
      </c>
      <c r="J9" s="71" t="s">
        <v>60</v>
      </c>
    </row>
    <row r="10" spans="1:26" ht="50.25" customHeight="1">
      <c r="A10" s="30" t="s">
        <v>18</v>
      </c>
      <c r="B10" s="117" t="s">
        <v>37</v>
      </c>
      <c r="C10" s="108" t="s">
        <v>119</v>
      </c>
      <c r="D10" s="117" t="s">
        <v>120</v>
      </c>
      <c r="E10" s="120">
        <v>219900</v>
      </c>
      <c r="F10" s="120">
        <f>E10*1.19</f>
        <v>261681</v>
      </c>
      <c r="G10" s="52">
        <f>(E10+F10)/3900</f>
        <v>123.48230769230769</v>
      </c>
      <c r="H10" s="99">
        <f>G10*3900</f>
        <v>481581</v>
      </c>
      <c r="I10" s="47" t="s">
        <v>14</v>
      </c>
      <c r="J10" s="72" t="s">
        <v>121</v>
      </c>
    </row>
    <row r="11" spans="1:26" ht="15" hidden="1" customHeight="1">
      <c r="A11" s="68"/>
      <c r="B11" s="117"/>
      <c r="C11" s="47" t="s">
        <v>61</v>
      </c>
      <c r="D11" s="117"/>
      <c r="E11" s="120"/>
      <c r="F11" s="120"/>
      <c r="G11" s="56"/>
      <c r="H11" s="56"/>
      <c r="I11" s="56"/>
      <c r="J11" s="56"/>
    </row>
    <row r="12" spans="1:26" ht="12.75" customHeight="1"/>
    <row r="13" spans="1:26" ht="138.75" customHeight="1">
      <c r="A13" s="116" t="s">
        <v>34</v>
      </c>
      <c r="B13" s="114"/>
      <c r="C13" s="114"/>
      <c r="D13" s="114"/>
      <c r="E13" s="114"/>
      <c r="F13" s="114"/>
      <c r="G13" s="114"/>
      <c r="H13" s="114"/>
      <c r="I13" s="114"/>
      <c r="J13" s="115"/>
    </row>
    <row r="14" spans="1:26" ht="12.75" customHeight="1"/>
    <row r="15" spans="1:26" ht="75" customHeight="1">
      <c r="A15" s="116" t="s">
        <v>21</v>
      </c>
      <c r="B15" s="114"/>
      <c r="C15" s="114"/>
      <c r="D15" s="114"/>
      <c r="E15" s="114"/>
      <c r="F15" s="114"/>
      <c r="G15" s="114"/>
      <c r="H15" s="114"/>
      <c r="I15" s="114"/>
      <c r="J15" s="115"/>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D2:H2"/>
    <mergeCell ref="A5:J5"/>
    <mergeCell ref="A13:J13"/>
    <mergeCell ref="A15:J15"/>
    <mergeCell ref="B10:B11"/>
    <mergeCell ref="D10:D11"/>
    <mergeCell ref="E10:E11"/>
    <mergeCell ref="F10:F11"/>
  </mergeCells>
  <hyperlinks>
    <hyperlink ref="C8" r:id="rId1" xr:uid="{4C6E7693-B4AE-4809-A97F-924717090566}"/>
    <hyperlink ref="C9" r:id="rId2" xr:uid="{075CA34C-823C-437C-9E9E-677CA13E85A0}"/>
    <hyperlink ref="C10" r:id="rId3" display="https://www.falabella.com.co/falabella-co/product/119560332/Teclado-Gamer-Mecanico-Redragon-K552-Kumara-Iluminacion-RGB-Switch-Red/119560333?kid=shopp254fa&amp;gclsrc=aw.ds&amp;gad_source=1&amp;gad_campaignid=21634415508&amp;gbraid=0AAAAADtuoySDLmwoEx7hlfXkOqc7voOTh&amp;gclid=CjwKCAiAz_DIBhBJEiwAVH2XwCZp6VGsKN-O-DujrWOL0l0nRD9yQSYXd-GzZIbiED1eKz0wnVHHxRoCJxsQAvD_BwE" xr:uid="{AB5BCCD3-8004-4771-AD7C-3EA9F6C779A3}"/>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opLeftCell="A7" workbookViewId="0">
      <selection activeCell="B10" sqref="B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1" t="s">
        <v>0</v>
      </c>
      <c r="E2" s="112"/>
      <c r="F2" s="112"/>
      <c r="G2" s="112"/>
      <c r="H2" s="112"/>
    </row>
    <row r="3" spans="1:26" ht="12.75" customHeight="1"/>
    <row r="4" spans="1:26" ht="12.75" customHeight="1"/>
    <row r="5" spans="1:26" ht="43.5" customHeight="1">
      <c r="A5" s="113" t="s">
        <v>1</v>
      </c>
      <c r="B5" s="114"/>
      <c r="C5" s="114"/>
      <c r="D5" s="114"/>
      <c r="E5" s="114"/>
      <c r="F5" s="114"/>
      <c r="G5" s="114"/>
      <c r="H5" s="114"/>
      <c r="I5" s="114"/>
      <c r="J5" s="115"/>
    </row>
    <row r="6" spans="1:26" ht="15.75" customHeight="1"/>
    <row r="7" spans="1:26" ht="75.75" customHeight="1">
      <c r="A7" s="2" t="s">
        <v>2</v>
      </c>
      <c r="B7" s="14" t="s">
        <v>3</v>
      </c>
      <c r="C7" s="14" t="s">
        <v>4</v>
      </c>
      <c r="D7" s="14" t="s">
        <v>5</v>
      </c>
      <c r="E7" s="14" t="s">
        <v>35</v>
      </c>
      <c r="F7" s="15" t="s">
        <v>7</v>
      </c>
      <c r="G7" s="16" t="s">
        <v>62</v>
      </c>
      <c r="H7" s="14" t="s">
        <v>9</v>
      </c>
      <c r="I7" s="14" t="s">
        <v>10</v>
      </c>
      <c r="J7" s="14" t="s">
        <v>11</v>
      </c>
      <c r="K7" s="6"/>
      <c r="L7" s="6"/>
      <c r="M7" s="6"/>
      <c r="N7" s="6"/>
      <c r="O7" s="6"/>
      <c r="P7" s="6"/>
      <c r="Q7" s="6"/>
      <c r="R7" s="6"/>
      <c r="S7" s="6"/>
      <c r="T7" s="6"/>
      <c r="U7" s="6"/>
      <c r="V7" s="6"/>
      <c r="W7" s="6"/>
      <c r="X7" s="6"/>
      <c r="Y7" s="6"/>
      <c r="Z7" s="6"/>
    </row>
    <row r="8" spans="1:26" ht="50.25" customHeight="1">
      <c r="A8" s="30" t="s">
        <v>12</v>
      </c>
      <c r="B8" s="47" t="s">
        <v>13</v>
      </c>
      <c r="C8" s="48" t="s">
        <v>63</v>
      </c>
      <c r="D8" s="75" t="s">
        <v>64</v>
      </c>
      <c r="E8" s="58">
        <v>29640</v>
      </c>
      <c r="F8" s="59">
        <f>E8*1.19</f>
        <v>35271.599999999999</v>
      </c>
      <c r="G8" s="52">
        <f>(E8+F8)/3900</f>
        <v>16.643999999999998</v>
      </c>
      <c r="H8" s="100">
        <f>G8*3900</f>
        <v>64911.599999999991</v>
      </c>
      <c r="I8" s="104" t="s">
        <v>36</v>
      </c>
      <c r="J8" s="101" t="s">
        <v>65</v>
      </c>
    </row>
    <row r="9" spans="1:26" ht="50.25" customHeight="1">
      <c r="A9" s="30" t="s">
        <v>15</v>
      </c>
      <c r="B9" s="54" t="s">
        <v>130</v>
      </c>
      <c r="C9" s="108" t="s">
        <v>138</v>
      </c>
      <c r="D9" s="47" t="s">
        <v>139</v>
      </c>
      <c r="E9" s="59">
        <v>89900</v>
      </c>
      <c r="F9" s="59">
        <f>E9*1.19</f>
        <v>106981</v>
      </c>
      <c r="G9" s="52">
        <f>(E9+F9)/3900</f>
        <v>50.482307692307693</v>
      </c>
      <c r="H9" s="100">
        <f>G9*3900</f>
        <v>196881</v>
      </c>
      <c r="I9" s="104" t="s">
        <v>36</v>
      </c>
      <c r="J9" s="102" t="s">
        <v>66</v>
      </c>
    </row>
    <row r="10" spans="1:26" ht="50.25" customHeight="1">
      <c r="A10" s="30" t="s">
        <v>18</v>
      </c>
      <c r="B10" s="47" t="s">
        <v>95</v>
      </c>
      <c r="C10" s="108" t="s">
        <v>140</v>
      </c>
      <c r="D10" s="47" t="s">
        <v>67</v>
      </c>
      <c r="E10" s="58">
        <v>145900</v>
      </c>
      <c r="F10" s="59">
        <f>E10*1.19</f>
        <v>173621</v>
      </c>
      <c r="G10" s="52">
        <f>(E10+F10)/3900</f>
        <v>81.928461538461534</v>
      </c>
      <c r="H10" s="100">
        <f>G10*3900</f>
        <v>319521</v>
      </c>
      <c r="I10" s="104" t="s">
        <v>36</v>
      </c>
      <c r="J10" s="103" t="s">
        <v>68</v>
      </c>
    </row>
    <row r="11" spans="1:26" ht="15" hidden="1" customHeight="1">
      <c r="A11" s="10"/>
      <c r="B11" s="31"/>
      <c r="C11" s="31"/>
      <c r="D11" s="31"/>
      <c r="E11" s="31"/>
      <c r="F11" s="31"/>
      <c r="G11" s="31"/>
      <c r="H11" s="31"/>
      <c r="I11" t="s">
        <v>36</v>
      </c>
      <c r="J11" s="31"/>
    </row>
    <row r="12" spans="1:26" ht="12.75" customHeight="1"/>
    <row r="13" spans="1:26" ht="138.75" customHeight="1">
      <c r="A13" s="116" t="s">
        <v>34</v>
      </c>
      <c r="B13" s="114"/>
      <c r="C13" s="114"/>
      <c r="D13" s="114"/>
      <c r="E13" s="114"/>
      <c r="F13" s="114"/>
      <c r="G13" s="114"/>
      <c r="H13" s="114"/>
      <c r="I13" s="114"/>
      <c r="J13" s="115"/>
    </row>
    <row r="14" spans="1:26" ht="12.75" customHeight="1"/>
    <row r="15" spans="1:26" ht="75" customHeight="1">
      <c r="A15" s="116" t="s">
        <v>21</v>
      </c>
      <c r="B15" s="114"/>
      <c r="C15" s="114"/>
      <c r="D15" s="114"/>
      <c r="E15" s="114"/>
      <c r="F15" s="114"/>
      <c r="G15" s="114"/>
      <c r="H15" s="114"/>
      <c r="I15" s="114"/>
      <c r="J15" s="115"/>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location="is_advertising=true&amp;searchVariation=MCO16051104&amp;position=1&amp;search_layout=stack&amp;type=pad&amp;tracking_id=ced31c77-b65c-4671-a8f1-61f3edab0f16&amp;is_advertising=true&amp;ad_domain=VQCATCORE_LST&amp;ad_position=1&amp;ad_click_id=MWZjOWY3ZTgtZjgwNS00MmEzLTk2M2ItNGJiMDNhMjg1NDIy" display="https://www.mercadolibre.com.co/mouse-gamer-vertical-inalambrico-recargable-weibo-wb-881-negro/p/MCO16051104?pdp_filters=item_id:MCO2027339616 - is_advertising=true&amp;searchVariation=MCO16051104&amp;position=1&amp;search_layout=stack&amp;type=pad&amp;tracking_id=ced31c77-b65c-4671-a8f1-61f3edab0f16&amp;is_advertising=true&amp;ad_domain=VQCATCORE_LST&amp;ad_position=1&amp;ad_click_id=MWZjOWY3ZTgtZjgwNS00MmEzLTk2M2ItNGJiMDNhMjg1NDIy" xr:uid="{A95C82ED-83CB-4CCC-9577-A897321B9576}"/>
    <hyperlink ref="C9" r:id="rId2" display="https://www.alkosto.com/mouse-lenovo-alambrico-gaming-m210-negro/p/195892091356?srsltid=AfmBOoqD54-SQKF205LvPgVSM0Z5EzAlA5o5-urA8F4ShRQc9LMJPngTW9FDMVuEjmQqA7VqCEOgNUNA_RsIVY5Wx0gR5DnHe9ASAQ8M8YRAxeVn3Acejqh0tgN8ueo29TNxAiKe2N0G5LNR214HtNh2oR0UTEyycAdXVxbeQUTvX44aLr_mRDw18-JBsM.3bwOiESxFGE2avoolxd1NMyRwKpAc48tTWFOHEkuV94&amp;dib_tag=se&amp;hvadid=673177383265&amp;hvdev=c&amp;hvlocphy=1003659&amp;hvnetw=g&amp;hvqmt=b&amp;hvrand=4444607748343888028&amp;hvtargid=kwd-17170676&amp;hydadcr=750_1015168472&amp;keywords=mouse%2Bfor%2Blaptop&amp;qid=1717016842&amp;sr=8-1-spons&amp;sp_csd=d2lkZ2V0TmFtZT1zcF9hdGY&amp;th=1" xr:uid="{11840493-EDBD-4D8C-ADED-0A31289E6E83}"/>
    <hyperlink ref="C10" r:id="rId3" xr:uid="{032951CC-B203-410F-B5F3-78B8208F6448}"/>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topLeftCell="A5" workbookViewId="0">
      <selection activeCell="D8" sqref="D8"/>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1"/>
    </row>
    <row r="2" spans="1:26" ht="27.75" customHeight="1">
      <c r="D2" s="111" t="s">
        <v>0</v>
      </c>
      <c r="E2" s="112"/>
      <c r="F2" s="112"/>
      <c r="G2" s="112"/>
      <c r="H2" s="112"/>
    </row>
    <row r="3" spans="1:26" ht="12.75" customHeight="1"/>
    <row r="4" spans="1:26" ht="12.75" customHeight="1"/>
    <row r="5" spans="1:26" ht="43.5" customHeight="1">
      <c r="A5" s="113" t="s">
        <v>1</v>
      </c>
      <c r="B5" s="114"/>
      <c r="C5" s="114"/>
      <c r="D5" s="114"/>
      <c r="E5" s="114"/>
      <c r="F5" s="114"/>
      <c r="G5" s="114"/>
      <c r="H5" s="114"/>
      <c r="I5" s="114"/>
      <c r="J5" s="115"/>
    </row>
    <row r="6" spans="1:26" ht="15.75" customHeight="1"/>
    <row r="7" spans="1:26" ht="75.75" customHeight="1">
      <c r="A7" s="2" t="s">
        <v>2</v>
      </c>
      <c r="B7" s="14" t="s">
        <v>3</v>
      </c>
      <c r="C7" s="14" t="s">
        <v>4</v>
      </c>
      <c r="D7" s="14" t="s">
        <v>5</v>
      </c>
      <c r="E7" s="14" t="s">
        <v>35</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76" t="s">
        <v>69</v>
      </c>
      <c r="C8" s="77" t="s">
        <v>70</v>
      </c>
      <c r="D8" s="78" t="s">
        <v>71</v>
      </c>
      <c r="E8" s="70">
        <v>460000</v>
      </c>
      <c r="F8" s="79">
        <f>E8*1.19</f>
        <v>547400</v>
      </c>
      <c r="G8" s="80">
        <f>(F8+E8)/3900</f>
        <v>258.30769230769232</v>
      </c>
      <c r="H8" s="105">
        <f>G8*3900</f>
        <v>1007400</v>
      </c>
      <c r="I8" s="76" t="s">
        <v>14</v>
      </c>
      <c r="J8" s="78" t="s">
        <v>72</v>
      </c>
    </row>
    <row r="9" spans="1:26" ht="50.25" customHeight="1">
      <c r="A9" s="30" t="s">
        <v>15</v>
      </c>
      <c r="B9" s="76" t="s">
        <v>69</v>
      </c>
      <c r="C9" s="77" t="s">
        <v>73</v>
      </c>
      <c r="D9" s="78" t="s">
        <v>74</v>
      </c>
      <c r="E9" s="70">
        <v>640000</v>
      </c>
      <c r="F9" s="79">
        <f>E9*1.19</f>
        <v>761600</v>
      </c>
      <c r="G9" s="80">
        <f>(F9+E9)/3900</f>
        <v>359.38461538461536</v>
      </c>
      <c r="H9" s="105">
        <f>G9*3900</f>
        <v>1401600</v>
      </c>
      <c r="I9" s="76" t="s">
        <v>14</v>
      </c>
      <c r="J9" s="78" t="s">
        <v>75</v>
      </c>
    </row>
    <row r="10" spans="1:26" ht="50.25" customHeight="1">
      <c r="A10" s="30" t="s">
        <v>18</v>
      </c>
      <c r="B10" s="76" t="s">
        <v>69</v>
      </c>
      <c r="C10" s="77" t="s">
        <v>76</v>
      </c>
      <c r="D10" s="78" t="s">
        <v>77</v>
      </c>
      <c r="E10" s="73">
        <v>890000</v>
      </c>
      <c r="F10" s="79">
        <f>E10*1.19</f>
        <v>1059100</v>
      </c>
      <c r="G10" s="80">
        <f>(F10+E10)/3900</f>
        <v>499.76923076923077</v>
      </c>
      <c r="H10" s="105">
        <f>G10*3900</f>
        <v>1949100</v>
      </c>
      <c r="I10" s="76" t="s">
        <v>14</v>
      </c>
      <c r="J10" s="76" t="s">
        <v>75</v>
      </c>
    </row>
    <row r="11" spans="1:26" ht="15" hidden="1" customHeight="1">
      <c r="A11" s="10"/>
      <c r="B11" s="31"/>
      <c r="C11" s="31"/>
      <c r="D11" s="31"/>
      <c r="E11" s="31"/>
      <c r="F11" s="31"/>
      <c r="G11" s="81">
        <f>F11+E11</f>
        <v>0</v>
      </c>
      <c r="H11" s="31"/>
      <c r="I11" s="31"/>
      <c r="J11" s="31"/>
    </row>
    <row r="12" spans="1:26" ht="12.75" customHeight="1">
      <c r="G12" s="9"/>
    </row>
    <row r="13" spans="1:26" ht="138.75" customHeight="1">
      <c r="A13" s="116" t="s">
        <v>34</v>
      </c>
      <c r="B13" s="114"/>
      <c r="C13" s="114"/>
      <c r="D13" s="114"/>
      <c r="E13" s="114"/>
      <c r="F13" s="114"/>
      <c r="G13" s="114"/>
      <c r="H13" s="114"/>
      <c r="I13" s="114"/>
      <c r="J13" s="115"/>
    </row>
    <row r="14" spans="1:26" ht="12.75" customHeight="1"/>
    <row r="15" spans="1:26" ht="75" customHeight="1">
      <c r="A15" s="116" t="s">
        <v>21</v>
      </c>
      <c r="B15" s="114"/>
      <c r="C15" s="114"/>
      <c r="D15" s="114"/>
      <c r="E15" s="114"/>
      <c r="F15" s="114"/>
      <c r="G15" s="114"/>
      <c r="H15" s="114"/>
      <c r="I15" s="114"/>
      <c r="J15" s="115"/>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28CA1C3-FF15-4762-9FC1-B5772B0B50CF}"/>
    <hyperlink ref="C9" r:id="rId2" xr:uid="{E9BDE6BD-A3AD-4CE8-8057-BDD2DA0AE236}"/>
    <hyperlink ref="C10" r:id="rId3" xr:uid="{61238B6C-B0D7-4A9A-A356-D80A830D34F6}"/>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topLeftCell="A3" workbookViewId="0">
      <selection activeCell="B9" sqref="B9"/>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1"/>
    </row>
    <row r="2" spans="1:26" ht="27.75" customHeight="1">
      <c r="D2" s="111" t="s">
        <v>0</v>
      </c>
      <c r="E2" s="112"/>
      <c r="F2" s="112"/>
      <c r="G2" s="112"/>
      <c r="H2" s="112"/>
    </row>
    <row r="3" spans="1:26" ht="12.75" customHeight="1"/>
    <row r="4" spans="1:26" ht="12.75" customHeight="1"/>
    <row r="5" spans="1:26" ht="43.5" customHeight="1">
      <c r="A5" s="113" t="s">
        <v>1</v>
      </c>
      <c r="B5" s="114"/>
      <c r="C5" s="114"/>
      <c r="D5" s="114"/>
      <c r="E5" s="114"/>
      <c r="F5" s="114"/>
      <c r="G5" s="114"/>
      <c r="H5" s="114"/>
      <c r="I5" s="114"/>
      <c r="J5" s="115"/>
    </row>
    <row r="6" spans="1:26" ht="15.75" customHeight="1"/>
    <row r="7" spans="1:26" ht="75.75" customHeight="1">
      <c r="A7" s="2" t="s">
        <v>2</v>
      </c>
      <c r="B7" s="14" t="s">
        <v>3</v>
      </c>
      <c r="C7" s="14" t="s">
        <v>4</v>
      </c>
      <c r="D7" s="14" t="s">
        <v>5</v>
      </c>
      <c r="E7" s="14" t="s">
        <v>35</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83" t="s">
        <v>81</v>
      </c>
      <c r="C8" s="110" t="s">
        <v>146</v>
      </c>
      <c r="D8" s="84" t="s">
        <v>147</v>
      </c>
      <c r="E8" s="85">
        <v>5445000</v>
      </c>
      <c r="F8" s="86">
        <f>E8*1.19</f>
        <v>6479550</v>
      </c>
      <c r="G8" s="87">
        <f>(F8+E8)/3900</f>
        <v>3057.5769230769229</v>
      </c>
      <c r="H8" s="106">
        <f>G8*3900</f>
        <v>11924550</v>
      </c>
      <c r="I8" s="82" t="s">
        <v>36</v>
      </c>
      <c r="J8" s="83" t="s">
        <v>122</v>
      </c>
    </row>
    <row r="9" spans="1:26" ht="50.25" customHeight="1">
      <c r="A9" s="30" t="s">
        <v>15</v>
      </c>
      <c r="B9" s="83" t="s">
        <v>78</v>
      </c>
      <c r="C9" s="84" t="s">
        <v>79</v>
      </c>
      <c r="D9" s="83" t="str">
        <f>D8</f>
        <v xml:space="preserve">
Suscripción a Visual Studio Enterprise (nuevo)</v>
      </c>
      <c r="E9" s="85">
        <v>778741</v>
      </c>
      <c r="F9" s="86">
        <f>E9*1.19</f>
        <v>926701.78999999992</v>
      </c>
      <c r="G9" s="87">
        <f>(F9+E9)/3900</f>
        <v>437.29302307692308</v>
      </c>
      <c r="H9" s="106">
        <f>G9*3900</f>
        <v>1705442.79</v>
      </c>
      <c r="I9" s="82" t="s">
        <v>36</v>
      </c>
      <c r="J9" s="88" t="s">
        <v>80</v>
      </c>
    </row>
    <row r="10" spans="1:26" ht="50.25" customHeight="1">
      <c r="A10" s="30" t="s">
        <v>18</v>
      </c>
      <c r="B10" s="82" t="s">
        <v>81</v>
      </c>
      <c r="C10" s="77" t="s">
        <v>82</v>
      </c>
      <c r="D10" s="89" t="s">
        <v>83</v>
      </c>
      <c r="E10" s="85">
        <v>778741</v>
      </c>
      <c r="F10" s="86">
        <f>E10*1.19</f>
        <v>926701.78999999992</v>
      </c>
      <c r="G10" s="87">
        <f>(F10+E10)/3900</f>
        <v>437.29302307692308</v>
      </c>
      <c r="H10" s="106">
        <f>G10*3900</f>
        <v>1705442.79</v>
      </c>
      <c r="I10" s="82" t="s">
        <v>36</v>
      </c>
      <c r="J10" s="88" t="s">
        <v>80</v>
      </c>
    </row>
    <row r="11" spans="1:26" ht="15" hidden="1" customHeight="1">
      <c r="A11" s="10"/>
      <c r="B11" s="31"/>
      <c r="C11" s="31"/>
      <c r="D11" s="31"/>
      <c r="E11" s="31"/>
      <c r="F11" s="31"/>
      <c r="G11" s="31"/>
      <c r="H11" s="31"/>
      <c r="I11" s="31"/>
      <c r="J11" s="31"/>
    </row>
    <row r="12" spans="1:26" ht="12.75" customHeight="1"/>
    <row r="13" spans="1:26" ht="138.75" customHeight="1">
      <c r="A13" s="116" t="s">
        <v>34</v>
      </c>
      <c r="B13" s="114"/>
      <c r="C13" s="114"/>
      <c r="D13" s="114"/>
      <c r="E13" s="114"/>
      <c r="F13" s="114"/>
      <c r="G13" s="114"/>
      <c r="H13" s="114"/>
      <c r="I13" s="114"/>
      <c r="J13" s="115"/>
    </row>
    <row r="14" spans="1:26" ht="12.75" customHeight="1"/>
    <row r="15" spans="1:26" ht="75" customHeight="1">
      <c r="A15" s="116" t="s">
        <v>21</v>
      </c>
      <c r="B15" s="114"/>
      <c r="C15" s="114"/>
      <c r="D15" s="114"/>
      <c r="E15" s="114"/>
      <c r="F15" s="114"/>
      <c r="G15" s="114"/>
      <c r="H15" s="114"/>
      <c r="I15" s="114"/>
      <c r="J15" s="115"/>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10" r:id="rId1" xr:uid="{BB1C18D6-44EB-4951-BE07-BCDCBB8F33C8}"/>
    <hyperlink ref="C8" r:id="rId2" xr:uid="{1B99B3E7-8A25-43A3-BC1E-448552F5426D}"/>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topLeftCell="A6" workbookViewId="0">
      <selection activeCell="F10" sqref="F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1"/>
    </row>
    <row r="2" spans="1:26" ht="27.75" customHeight="1">
      <c r="D2" s="111" t="s">
        <v>0</v>
      </c>
      <c r="E2" s="112"/>
      <c r="F2" s="112"/>
      <c r="G2" s="112"/>
      <c r="H2" s="112"/>
    </row>
    <row r="3" spans="1:26" ht="12.75" customHeight="1"/>
    <row r="4" spans="1:26" ht="12.75" customHeight="1"/>
    <row r="5" spans="1:26" ht="43.5" customHeight="1">
      <c r="A5" s="113" t="s">
        <v>1</v>
      </c>
      <c r="B5" s="114"/>
      <c r="C5" s="114"/>
      <c r="D5" s="114"/>
      <c r="E5" s="114"/>
      <c r="F5" s="114"/>
      <c r="G5" s="114"/>
      <c r="H5" s="114"/>
      <c r="I5" s="114"/>
      <c r="J5" s="115"/>
    </row>
    <row r="6" spans="1:26" ht="15.75" customHeight="1"/>
    <row r="7" spans="1:26" ht="75.75" customHeight="1">
      <c r="A7" s="2" t="s">
        <v>2</v>
      </c>
      <c r="B7" s="14" t="s">
        <v>3</v>
      </c>
      <c r="C7" s="14" t="s">
        <v>4</v>
      </c>
      <c r="D7" s="14" t="s">
        <v>5</v>
      </c>
      <c r="E7" s="14" t="s">
        <v>35</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92" t="s">
        <v>142</v>
      </c>
      <c r="C8" s="121" t="s">
        <v>141</v>
      </c>
      <c r="D8" s="93" t="s">
        <v>84</v>
      </c>
      <c r="E8" s="95">
        <v>1999990</v>
      </c>
      <c r="F8" s="95">
        <f>E8*1.19</f>
        <v>2379988.1</v>
      </c>
      <c r="G8" s="96">
        <f>(F8+E8)/3900</f>
        <v>1123.0713076923075</v>
      </c>
      <c r="H8" s="105">
        <f>G8*3900</f>
        <v>4379978.0999999996</v>
      </c>
      <c r="I8" s="92" t="s">
        <v>14</v>
      </c>
      <c r="J8" s="92"/>
    </row>
    <row r="9" spans="1:26" ht="50.25" customHeight="1">
      <c r="A9" s="30" t="s">
        <v>15</v>
      </c>
      <c r="B9" s="92" t="s">
        <v>144</v>
      </c>
      <c r="C9" s="122" t="s">
        <v>143</v>
      </c>
      <c r="D9" s="92" t="str">
        <f>D8</f>
        <v xml:space="preserve">Licencia Windows 11 Pro ESD Vitalicia
</v>
      </c>
      <c r="E9" s="95">
        <v>901000</v>
      </c>
      <c r="F9" s="95">
        <f>E9*1.19</f>
        <v>1072190</v>
      </c>
      <c r="G9" s="96">
        <f>(F9+E9)/3900</f>
        <v>505.94615384615383</v>
      </c>
      <c r="H9" s="105">
        <f>G9*3900</f>
        <v>1973190</v>
      </c>
      <c r="I9" s="92" t="s">
        <v>14</v>
      </c>
      <c r="J9" s="92"/>
    </row>
    <row r="10" spans="1:26" ht="50.25" customHeight="1">
      <c r="A10" s="30" t="s">
        <v>18</v>
      </c>
      <c r="B10" s="92" t="s">
        <v>85</v>
      </c>
      <c r="C10" s="121" t="s">
        <v>145</v>
      </c>
      <c r="D10" s="93" t="s">
        <v>86</v>
      </c>
      <c r="E10" s="94">
        <v>824990</v>
      </c>
      <c r="F10" s="95">
        <f>E10*1.19</f>
        <v>981738.1</v>
      </c>
      <c r="G10" s="96">
        <f>(F10+E10)/3900</f>
        <v>463.26361538461543</v>
      </c>
      <c r="H10" s="105">
        <f>G10*3900</f>
        <v>1806728.1</v>
      </c>
      <c r="I10" s="92" t="s">
        <v>14</v>
      </c>
      <c r="J10" s="92" t="s">
        <v>87</v>
      </c>
    </row>
    <row r="11" spans="1:26" ht="15" hidden="1" customHeight="1">
      <c r="A11" s="10"/>
      <c r="B11" s="31"/>
      <c r="C11" s="31"/>
      <c r="D11" s="31"/>
      <c r="E11" s="31"/>
      <c r="F11" s="31"/>
      <c r="G11" s="31"/>
      <c r="H11" s="31"/>
      <c r="I11" s="31"/>
      <c r="J11" s="31"/>
    </row>
    <row r="12" spans="1:26" ht="12.75" customHeight="1"/>
    <row r="13" spans="1:26" ht="138.75" customHeight="1">
      <c r="A13" s="116" t="s">
        <v>34</v>
      </c>
      <c r="B13" s="114"/>
      <c r="C13" s="114"/>
      <c r="D13" s="114"/>
      <c r="E13" s="114"/>
      <c r="F13" s="114"/>
      <c r="G13" s="114"/>
      <c r="H13" s="114"/>
      <c r="I13" s="114"/>
      <c r="J13" s="115"/>
    </row>
    <row r="14" spans="1:26" ht="12.75" customHeight="1"/>
    <row r="15" spans="1:26" ht="75" customHeight="1">
      <c r="A15" s="116" t="s">
        <v>21</v>
      </c>
      <c r="B15" s="114"/>
      <c r="C15" s="114"/>
      <c r="D15" s="114"/>
      <c r="E15" s="114"/>
      <c r="F15" s="114"/>
      <c r="G15" s="114"/>
      <c r="H15" s="114"/>
      <c r="I15" s="114"/>
      <c r="J15" s="115"/>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10" r:id="rId1" xr:uid="{731CF19D-D708-42C1-832C-60978BEC51CD}"/>
    <hyperlink ref="C8" r:id="rId2" xr:uid="{95D0FAF7-6D3C-45F4-A8B9-BC2B5057DAA6}"/>
    <hyperlink ref="C9" r:id="rId3" xr:uid="{8C5B3653-2BFA-413F-B831-C3599669C2E3}"/>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tabSelected="1" topLeftCell="A7" workbookViewId="0">
      <selection activeCell="A13" sqref="A13:J13"/>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1"/>
    </row>
    <row r="2" spans="1:26" ht="27.75" customHeight="1">
      <c r="D2" s="111" t="s">
        <v>0</v>
      </c>
      <c r="E2" s="112"/>
      <c r="F2" s="112"/>
      <c r="G2" s="112"/>
      <c r="H2" s="112"/>
    </row>
    <row r="3" spans="1:26" ht="12.75" customHeight="1"/>
    <row r="4" spans="1:26" ht="12.75" customHeight="1"/>
    <row r="5" spans="1:26" ht="43.5" customHeight="1">
      <c r="A5" s="113" t="s">
        <v>1</v>
      </c>
      <c r="B5" s="114"/>
      <c r="C5" s="114"/>
      <c r="D5" s="114"/>
      <c r="E5" s="114"/>
      <c r="F5" s="114"/>
      <c r="G5" s="114"/>
      <c r="H5" s="114"/>
      <c r="I5" s="114"/>
      <c r="J5" s="115"/>
    </row>
    <row r="6" spans="1:26" ht="15.75" customHeight="1"/>
    <row r="7" spans="1:26" ht="75.75" customHeight="1">
      <c r="A7" s="2" t="s">
        <v>2</v>
      </c>
      <c r="B7" s="14" t="s">
        <v>3</v>
      </c>
      <c r="C7" s="14" t="s">
        <v>4</v>
      </c>
      <c r="D7" s="14" t="s">
        <v>5</v>
      </c>
      <c r="E7" s="14" t="s">
        <v>35</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83" t="s">
        <v>124</v>
      </c>
      <c r="C8" s="110" t="s">
        <v>125</v>
      </c>
      <c r="D8" s="84" t="s">
        <v>123</v>
      </c>
      <c r="E8" s="90">
        <v>1365000</v>
      </c>
      <c r="F8" s="90">
        <f>E8*1.19</f>
        <v>1624350</v>
      </c>
      <c r="G8" s="87">
        <f>(F8+E8)/3900</f>
        <v>766.5</v>
      </c>
      <c r="H8" s="107">
        <f>G8*3900</f>
        <v>2989350</v>
      </c>
      <c r="I8" s="76" t="s">
        <v>14</v>
      </c>
      <c r="J8" s="83" t="s">
        <v>126</v>
      </c>
    </row>
    <row r="9" spans="1:26" ht="50.25" customHeight="1">
      <c r="A9" s="30" t="s">
        <v>15</v>
      </c>
      <c r="B9" s="83" t="s">
        <v>149</v>
      </c>
      <c r="C9" s="110" t="s">
        <v>148</v>
      </c>
      <c r="D9" s="83" t="s">
        <v>123</v>
      </c>
      <c r="E9" s="90">
        <v>1293600</v>
      </c>
      <c r="F9" s="90">
        <f>E9*1.19</f>
        <v>1539384</v>
      </c>
      <c r="G9" s="87">
        <f>(F9+E9)/3900</f>
        <v>726.40615384615387</v>
      </c>
      <c r="H9" s="107">
        <f>G9*3900</f>
        <v>2832984</v>
      </c>
      <c r="I9" s="76" t="s">
        <v>14</v>
      </c>
      <c r="J9" s="83" t="s">
        <v>127</v>
      </c>
    </row>
    <row r="10" spans="1:26" ht="50.25" customHeight="1">
      <c r="A10" s="30" t="s">
        <v>18</v>
      </c>
      <c r="B10" s="76" t="s">
        <v>69</v>
      </c>
      <c r="C10" s="108" t="s">
        <v>88</v>
      </c>
      <c r="D10" s="78" t="s">
        <v>89</v>
      </c>
      <c r="E10" s="70">
        <v>3756303</v>
      </c>
      <c r="F10" s="90">
        <f>E10*1.19</f>
        <v>4470000.5699999994</v>
      </c>
      <c r="G10" s="87">
        <f>(F10+E10)/3900</f>
        <v>2109.3086076923073</v>
      </c>
      <c r="H10" s="107">
        <f>G10*3900</f>
        <v>8226303.5699999984</v>
      </c>
      <c r="I10" s="76" t="s">
        <v>14</v>
      </c>
      <c r="J10" s="91" t="s">
        <v>128</v>
      </c>
    </row>
    <row r="11" spans="1:26" ht="15" hidden="1" customHeight="1">
      <c r="A11" s="10"/>
      <c r="B11" s="31"/>
      <c r="C11" s="31"/>
      <c r="D11" s="31"/>
      <c r="E11" s="31"/>
      <c r="F11" s="31"/>
      <c r="G11" s="31"/>
      <c r="H11" s="31"/>
      <c r="I11" s="31"/>
      <c r="J11" s="31"/>
    </row>
    <row r="12" spans="1:26" ht="12.75" customHeight="1"/>
    <row r="13" spans="1:26" ht="138.75" customHeight="1">
      <c r="A13" s="116" t="s">
        <v>34</v>
      </c>
      <c r="B13" s="114"/>
      <c r="C13" s="114"/>
      <c r="D13" s="114"/>
      <c r="E13" s="114"/>
      <c r="F13" s="114"/>
      <c r="G13" s="114"/>
      <c r="H13" s="114"/>
      <c r="I13" s="114"/>
      <c r="J13" s="115"/>
    </row>
    <row r="14" spans="1:26" ht="12.75" customHeight="1"/>
    <row r="15" spans="1:26" ht="75" customHeight="1">
      <c r="A15" s="116" t="s">
        <v>21</v>
      </c>
      <c r="B15" s="114"/>
      <c r="C15" s="114"/>
      <c r="D15" s="114"/>
      <c r="E15" s="114"/>
      <c r="F15" s="114"/>
      <c r="G15" s="114"/>
      <c r="H15" s="114"/>
      <c r="I15" s="114"/>
      <c r="J15" s="115"/>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10" r:id="rId1" xr:uid="{858D7D11-1568-4930-8615-663E22109A20}"/>
    <hyperlink ref="C8" r:id="rId2" xr:uid="{545256AB-A3E6-4D4F-85E9-75046A5A1F46}"/>
    <hyperlink ref="C9" r:id="rId3" xr:uid="{1B1BF424-EAC9-4383-B3E7-636373FE73C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Torre admin</vt:lpstr>
      <vt:lpstr>Monitor Admin</vt:lpstr>
      <vt:lpstr>DiscoSolido Admin</vt:lpstr>
      <vt:lpstr>Disco duro interno Admin</vt:lpstr>
      <vt:lpstr>Servidor Admin</vt:lpstr>
      <vt:lpstr>ram Admin</vt:lpstr>
      <vt:lpstr>Teclado Admin</vt:lpstr>
      <vt:lpstr>Mause Admin</vt:lpstr>
      <vt:lpstr>software licencia</vt:lpstr>
      <vt:lpstr>licencia visual</vt:lpstr>
      <vt:lpstr>windows 11 licencia</vt:lpstr>
      <vt:lpstr>licencia SQL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lacho</cp:lastModifiedBy>
  <cp:revision/>
  <dcterms:created xsi:type="dcterms:W3CDTF">2010-11-08T17:12:41Z</dcterms:created>
  <dcterms:modified xsi:type="dcterms:W3CDTF">2025-11-20T04:35:03Z</dcterms:modified>
  <cp:category/>
  <cp:contentStatus/>
</cp:coreProperties>
</file>
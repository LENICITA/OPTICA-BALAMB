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software licencia" sheetId="9" r:id="rId12"/>
    <sheet state="visible" name="licencia visual" sheetId="10" r:id="rId13"/>
    <sheet state="visible" name="licencia SQL" sheetId="11" r:id="rId14"/>
    <sheet state="visible" name="Hosting y dominio" sheetId="12" r:id="rId15"/>
    <sheet state="visible" name="Frontend" sheetId="13" r:id="rId16"/>
    <sheet state="visible" name="Backend" sheetId="14" r:id="rId17"/>
  </sheets>
  <definedNames/>
  <calcPr/>
  <extLst>
    <ext uri="GoogleSheetsCustomDataVersion2">
      <go:sheetsCustomData xmlns:go="http://customooxmlschemas.google.com/" r:id="rId18" roundtripDataChecksum="GytCNUcJJO/nBpLOlAAmSoMk1r8FVA9rnb9kv509WUQ="/>
    </ext>
  </extLst>
</workbook>
</file>

<file path=xl/sharedStrings.xml><?xml version="1.0" encoding="utf-8"?>
<sst xmlns="http://schemas.openxmlformats.org/spreadsheetml/2006/main" count="447" uniqueCount="299">
  <si>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</si>
  <si>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</si>
  <si>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</si>
  <si>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</si>
  <si>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</si>
  <si>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</si>
  <si>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</si>
  <si>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</si>
  <si>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</si>
  <si>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</si>
  <si>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</si>
  <si>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</si>
  <si>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</si>
  <si>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Falabella </t>
  </si>
  <si>
    <t>https://www.falabella.com.co/falabella-co/product/148453855/Caja-E-ATX-Thermaltake-H390-TG-ATGB-Black-(750W-80-Plus-Bronze)/148453856</t>
  </si>
  <si>
    <t>Thermaltake View 270 Plus TG ARGB</t>
  </si>
  <si>
    <t>CONTADO</t>
  </si>
  <si>
    <t>Diseño muy elegante con vidrio templado. Perfecta si te importa la estética y que los componentes se vean.</t>
  </si>
  <si>
    <t xml:space="preserve">Nº2 </t>
  </si>
  <si>
    <t>Alkosto</t>
  </si>
  <si>
    <t>https://www.pcware.com.co/xpg-starker-atx-1-fan-cooler-argb-vidrio-templado-x1-1-fan-cooler-standard-fuente-de-poder-xpg-probe-600-watts-certificada-80-plus-bronze-negro-by-adata</t>
  </si>
  <si>
    <t>XPG Starker Air</t>
  </si>
  <si>
    <t>En PcWare encuentras de forma fácil un gran catálogo el componente o partes de pc al mejor precio</t>
  </si>
  <si>
    <t>Nº 3</t>
  </si>
  <si>
    <t xml:space="preserve">Mercado Libre </t>
  </si>
  <si>
    <t>https://articulo.mercadolibre.com.co/MCO-2611582070-nzxt-h510-elite-torre-atx-blancanegra-cristal-doble-_JM?matt_tool=19390127&amp;utm_source=chatgpt.com</t>
  </si>
  <si>
    <t>NZXT H510 Elite RGB</t>
  </si>
  <si>
    <t>Computador gamer de escritorio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</si>
  <si>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</si>
  <si>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</si>
  <si>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</si>
  <si>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</si>
  <si>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</si>
  <si>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</si>
  <si>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</si>
  <si>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</si>
  <si>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</si>
  <si>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</si>
  <si>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</si>
  <si>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</si>
  <si>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Monitor LG 24 Gamer Ultragear Fhd 180hz Color Black</t>
  </si>
  <si>
    <t>tamaño compacto de 24″, IPS para buena visibilidad, ideal para codificación y uso administrativo.</t>
  </si>
  <si>
    <t>https://www.alkosto.com/monitor-samsung-gamer-24-pulgadas-g320nl-plano-negro/p/8806094113846</t>
  </si>
  <si>
    <t>Monitor Xiaomi A24i 23.8″</t>
  </si>
  <si>
    <t>diseño moderno, buena relación precio / calidad, suficiente para trabajar con UI, back-office y código.</t>
  </si>
  <si>
    <t>Falabella</t>
  </si>
  <si>
    <t>https://www.falabella.com.co/falabella-co/product/148209435/Monitor-LG-24-Fhd-120ghz-24U411A-B-Negro/148209436</t>
  </si>
  <si>
    <t>Monitor LG 24″ 24MR400</t>
  </si>
  <si>
    <t>Pantalla FHD, Gran nitidez, calidad de imagen y contraste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</si>
  <si>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</si>
  <si>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</si>
  <si>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</si>
  <si>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</si>
  <si>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</si>
  <si>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</si>
  <si>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</si>
  <si>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</si>
  <si>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</si>
  <si>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</si>
  <si>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</si>
  <si>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https://articulo.mercadolibre.com.co/MCO-1592061277-ssd-kingston-nv3-1tb-m2-2280-nvme-pcie-40-gen-4x4-6000mbs-_JM?matt_tool=19390127&amp;utm_source=chatgpt.com&amp;search_layout=stack&amp;type=product&amp;tracking_id=aa8e5d63-5d99-467d-8939-e0e1b492ed9b</t>
  </si>
  <si>
    <t>Kingston NVMe M.2 SSD</t>
  </si>
  <si>
    <t xml:space="preserve">CONTADO </t>
  </si>
  <si>
    <t>SSD M.2 NVMe, muy rápido, ideal si tu placa madre tiene ranura M.2.</t>
  </si>
  <si>
    <t xml:space="preserve">FALABELLA </t>
  </si>
  <si>
    <t>https://www.falabella.com.co/falabella-co/product/124164036/Disco-solido-ssd-crucial-bx500-2tb-sata-2.5-negro/124164037?utm_source=chatgpt.com</t>
  </si>
  <si>
    <t>Crucial BX500 SATA SSD</t>
  </si>
  <si>
    <t>SSD SATA 2.5″, buena opción para presupuesto moderado, para sistema operativo o datos.</t>
  </si>
  <si>
    <t>https://www.falabella.com.co/falabella-co/product/144581511/Disco-Solido-Sandisk-Extreme-SSD-V2-1TB-Portable-1050MBs/144581512?utm_source=chatgpt.com</t>
  </si>
  <si>
    <t>SanDisk Extreme Portable 1 TB</t>
  </si>
  <si>
    <t>SSD externo portátil, útil si quieres almacenamiento externo o backups rápidos.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</si>
  <si>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</si>
  <si>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</si>
  <si>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</si>
  <si>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</si>
  <si>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</si>
  <si>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</si>
  <si>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</si>
  <si>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</si>
  <si>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</si>
  <si>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</si>
  <si>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https://www.mercadolibre.com.co/disco-duro-interno-western-digital-wd10ezex-1tb-plateado/p/MCO20953266#polycard_client=search-nordic&amp;search_layout=stack&amp;position=1&amp;type=product&amp;tracking_id=f6a23257-2aaa-49d5-8d32-eb98f416c944&amp;wid=MCO1339638675&amp;sid=search</t>
  </si>
  <si>
    <t>WD Blue 1 TB (3.5″) HDD</t>
  </si>
  <si>
    <t>Buena opción para almacenamiento general en PCs de escritorio.</t>
  </si>
  <si>
    <t>FALABELLA</t>
  </si>
  <si>
    <t>https://www.falabella.com.co/falabella-co/product/141017589/Disco-Duro-SEAGATE-2TB-Portatil/141017590?utm_source=chatgpt.com</t>
  </si>
  <si>
    <t>Seagate Barracuda 1 TB (2.5″)</t>
  </si>
  <si>
    <t>Ideal para laptops o equipos compactos.</t>
  </si>
  <si>
    <t>https://www.mercadolibre.com.co/disco-duro-interno-western-digital-wd-purple-wd40purx-4tb-purpura/p/MCO6136548?pdp_filters=item_id%3AMCO2808755156&amp;from=gshop&amp;matt_tool=32927594&amp;matt_word=&amp;matt_source=google&amp;matt_campaign_id=22126928795&amp;matt_ad_group_id=173140669843&amp;matt_match_type=&amp;matt_network=g&amp;matt_device=c&amp;matt_creative=729917880233&amp;matt_keyword=&amp;matt_ad_position=&amp;matt_ad_type=pla&amp;matt_merchant_id=735129189&amp;matt_product_id=MCO6136548-product&amp;matt_product_partition_id=2389849485085&amp;matt_target_id=pla-2389849485085&amp;cq_src=google_ads&amp;cq_cmp=22126928795&amp;cq_net=g&amp;cq_plt=gp&amp;cq_med=pla&amp;gad_source=1&amp;gad_campaignid=22126928795&amp;gbraid=0AAAAAD1DcoxbIoJYOk4Yw5zBY8TkXTBM7&amp;gclid=CjwKCAiA8vXIBhAtEiwAf3B-g2ErJma5_c3xtOW33yr3gOac8qwd10DWdrC3v7fbvBP4xzzJkHf5bhoCHsQQAvD_BwE</t>
  </si>
  <si>
    <t xml:space="preserve">WD Purple 4 TB (3.5″) – Vigilancia Especial </t>
  </si>
  <si>
    <t>para uso de escritura continua, como video vigilancia o grabación de muchos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</si>
  <si>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</si>
  <si>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</si>
  <si>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</si>
  <si>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</si>
  <si>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</si>
  <si>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</si>
  <si>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</si>
  <si>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</si>
  <si>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</si>
  <si>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</si>
  <si>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</si>
  <si>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</si>
  <si>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</si>
  <si>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</si>
  <si>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</si>
  <si>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</si>
  <si>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</si>
  <si>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</si>
  <si>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t>Procesador: Intel Xeon Silver 4210 (10 núcleos)
RAM: 64 GB ECC (memoria con corrección de errores)
Almacenamiento: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</si>
  <si>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</si>
  <si>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</si>
  <si>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</si>
  <si>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</si>
  <si>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</si>
  <si>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</si>
  <si>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</si>
  <si>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</si>
  <si>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</si>
  <si>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</si>
  <si>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https://www.falabella.com.co/falabella-co/product/147131600/Memoria-Corsair-Vengeance-RGB-RS-1x16GB-DDR4-3200-RGB/147131601</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</si>
  <si>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</si>
  <si>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</si>
  <si>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</si>
  <si>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</si>
  <si>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</si>
  <si>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</si>
  <si>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</si>
  <si>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</si>
  <si>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</si>
  <si>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</si>
  <si>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</si>
  <si>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</si>
  <si>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</si>
  <si>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</si>
  <si>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</si>
  <si>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</si>
  <si>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</si>
  <si>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</si>
  <si>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</si>
  <si>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https://www.falabella.com.co/falabella-co/product/130536287/Combo-Dell-Wireless-Km3322w-Teclado-+-Mouse/130536288</t>
  </si>
  <si>
    <t>Combo Dell Wireless Km3322w Teclado + Mouse</t>
  </si>
  <si>
    <t>Sensor de alta precisión</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</si>
  <si>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</si>
  <si>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</si>
  <si>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</si>
  <si>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</si>
  <si>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t>
  </si>
  <si>
    <t>Teclado Gamer Mecánico Redragon K552 Kumara Iluminación RGB Switch Red</t>
  </si>
  <si>
    <t>mecánico, muy popular entre gamers, buen rendimiento y sensación de pulsación.</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</si>
  <si>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</si>
  <si>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</si>
  <si>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</si>
  <si>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</si>
  <si>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</si>
  <si>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</si>
  <si>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</si>
  <si>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</si>
  <si>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</si>
  <si>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</si>
  <si>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</si>
  <si>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</si>
  <si>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</si>
  <si>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Posee rueda de desplazamiento.</t>
  </si>
  <si>
    <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</si>
  <si>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Mouse LENOVO Alámbrico Gaming M210 Negro</t>
  </si>
  <si>
    <t>Ratón de computadora para navegar fácilmente por una interfaz de computadora; haga clic, desplazarse y más</t>
  </si>
  <si>
    <t>https://www.falabella.com.co/falabella-co/product/125025600/Mouse-Gamer-Logitech-Inalambrico-Lightspeed-G305-Lila/125025601</t>
  </si>
  <si>
    <t>Mouse LOGITECH G Inalámbrico Gaming G305 Lila</t>
  </si>
  <si>
    <t>G305 puede guardar en la memoria integrada hasta 5 perfiles con hasta 5 niveles de dpi cada uno.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</si>
  <si>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</si>
  <si>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</si>
  <si>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</si>
  <si>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</si>
  <si>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</si>
  <si>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</si>
  <si>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</si>
  <si>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</si>
  <si>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</si>
  <si>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</si>
  <si>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</si>
  <si>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https://www.amazon.com/-/es/Actualizaci%C3%B3n-Windows-desde-descarga-digital/dp/B09WCTTXQ6</t>
  </si>
  <si>
    <t>Actualización de Windows 11 Pro, desde Windows 11 Home (descarga digital)</t>
  </si>
  <si>
    <t>El sistema ofrece una experiencia más rápida y productiva gracias a una interfaz sencilla, intuitiva y con nuevas funciones que facilitan la multitarea. Permite una colaboración más inteligente mediante reuniones en línea más eficientes, con opciones directas desde la barra de tareas y herramientas como cancelación de ruido y desenfoque de fondo. Garantiza un entorno estable y confiable, con compatibilidad para aplicaciones y herramientas familiares para implementación y actualización. Además, proporciona seguridad potente, protegiendo datos con aislamiento por hardware, cifrado y funciones integradas contra malware.</t>
  </si>
  <si>
    <t xml:space="preserve">SYSTORE COLOMBIA </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</si>
  <si>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</si>
  <si>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</si>
  <si>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</si>
  <si>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 xml:space="preserve">Ktronix </t>
  </si>
  <si>
    <t>https://www.ktronix.com/pin-office-microsoft-365-familia-12-meses-6-usuarios/p/196742123845</t>
  </si>
  <si>
    <t>PIN Office Microsoft 365 Familia 12 meses / 6 usuarios</t>
  </si>
  <si>
    <t>Suscripción para una a seis personas que incluye hasta 6 TB de almacenamiento en la nube (1 TB por persona), potentes aplicaciones de productividad, herramientas de creatividad y seguridad digital, ahora impulsadas con Inteligencia Artificial, todo en un solo plan.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</si>
  <si>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</si>
  <si>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</si>
  <si>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</si>
  <si>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</si>
  <si>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</si>
  <si>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</si>
  <si>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</si>
  <si>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</si>
  <si>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</si>
  <si>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</si>
  <si>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t>
  </si>
  <si>
    <t xml:space="preserve">https://www.microsoft.com/es-cl/d/suscripcion-a-visual-studio-enterprise/dg7gmgf0dst4
</t>
  </si>
  <si>
    <t xml:space="preserve">
Suscripción a Visual Studio Enterprise (nuevo)</t>
  </si>
  <si>
    <t>Licencia para desarrollo avanzado de software, ideal para equipos grandes que necesitan integración continua, testing avanzado y soporte premium. Compatible con múltiples plataformas y lenguajes. Requiere sistema operativo Windows actualizado.</t>
  </si>
  <si>
    <t>ebay</t>
  </si>
  <si>
    <t>https://www.ebay.com/itm/167880559845?chn=ps&amp;mkevt=1&amp;mkcid=28&amp;google_free_listing_action=view_item&amp;utm_source=chatgpt.com</t>
  </si>
  <si>
    <t>Software de lectura de pantalla Freedom Scientific JAWS para Windows 5.0 nuevo en paquete/nuevo en caja sin abrir-</t>
  </si>
  <si>
    <t>Un lector de pantalla avanzado, muy utilizado por personas ciegas o con baja visión. Convierte en voz (o Braille) la información mostrada en pantalla, permitiendo usar el computador —navegar, leer, editar documentos, usar programas— de forma autónoma.</t>
  </si>
  <si>
    <t>https://visualstudio.microsoft.com/es/vs/pricing/</t>
  </si>
  <si>
    <t xml:space="preserve">LICENCIA VISUAL </t>
  </si>
  <si>
    <t>El mejor IDE completo para desarrolladores de .NET y C++ en Windows. Completamente equipado con una buena matriz de herramientas y características para elevar y mejorar todas las etapas del desarrollo de software.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</si>
  <si>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</si>
  <si>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</si>
  <si>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</si>
  <si>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</si>
  <si>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</si>
  <si>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</si>
  <si>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</si>
  <si>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</si>
  <si>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</si>
  <si>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</si>
  <si>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LATINKEYS</t>
  </si>
  <si>
    <t>https://latinkeys.com/colombia/producto/sql-server-2022-standard-64-bits-8-cores-cals-ilimitadas/?utm_source=chatgpt.com</t>
  </si>
  <si>
    <t>SQL Server 2022 Standard (8 cores)</t>
  </si>
  <si>
    <t>Oferta incluye soporte técnico limitado y actualizaciones de seguridad.
- Ideal para empresas medianas que requieren estabilidad y escalabilidad.
- Precio competitivo en Colombia con opción de compra en línea.</t>
  </si>
  <si>
    <t xml:space="preserve">Microsoft </t>
  </si>
  <si>
    <t>https://www.microsoft.com/es-mx/sql-server/sql-server-2022-pricing</t>
  </si>
  <si>
    <t>Excelente opción para empresas que prefieren soporte presencial o local.
- Puede incluir servicios adicionales como instalación, configuración y mantenimiento.
- Recomendado para quienes busquen atención personalizada.</t>
  </si>
  <si>
    <t>https://systorecolombia.com/server/252-licencia-sql-server-standard-2019-perpetua-dg7gmgf0fkx9.html</t>
  </si>
  <si>
    <t>Licencia SQL Server Standard 2019 Perpetua DG7GMGF0FKX9</t>
  </si>
  <si>
    <t xml:space="preserve">Licencia SQL Server Standard 2019 Perpetua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</si>
  <si>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</si>
  <si>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</si>
  <si>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</si>
  <si>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</si>
  <si>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</si>
  <si>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</si>
  <si>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</si>
  <si>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</si>
  <si>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</si>
  <si>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</si>
  <si>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MAGOHOST</t>
  </si>
  <si>
    <t>https://magohost.com/colombia/comprar-web-hosting.php?utm_source=chatgpt.com</t>
  </si>
  <si>
    <t>Web Hosting, 1 dominio</t>
  </si>
  <si>
    <t>El servicio incluye hosting web y registro de dominio adquiridos por un período total de 18 meses. Durante este tiempo, el cliente contará con espacio en servidor, correo corporativo, certificado SSL y el nombre de dominio registrado, garantizando la disponibilidad del sitio web y su funcionamiento continuo durante todo el año y medio de servicio.</t>
  </si>
  <si>
    <t>HOSTINGER</t>
  </si>
  <si>
    <t>https://www.hostinger.com/co/recommended/cybernews-hp?utm_medium=affiliate&amp;utm_source=aff187301&amp;utm_campaign=475&amp;session=102ac44c8ef79dff31c857d2206930</t>
  </si>
  <si>
    <t>Web Hosting, 3 dominios</t>
  </si>
  <si>
    <t>El servicio adquirido ofrece la posibilidad de crear hasta 3 sitios web, con 20 GB de almacenamiento SSD para alojar archivos y contenido. Incluye 2 buzones de correo por cada sitio web gratis durante el primer año, así como todos los beneficios del plan Single.
Además, el cliente recibe un dominio gratis durante el primer año, mantenimiento automático de sitios en WordPress, email marketing gratuito por 1 año, y acceso al Creador de páginas web con IA, que permite diseñar sitios en minutos. Todo este paquete está contratado para un período total de 18 meses de servicio.</t>
  </si>
  <si>
    <t xml:space="preserve">hostgator </t>
  </si>
  <si>
    <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t>
  </si>
  <si>
    <t>Web Hosting, 1 dominio gratis</t>
  </si>
  <si>
    <t>El servicio incluye la posibilidad de crear más de 60 sitios web, con 50 GB de almacenamiento NVMe de alta velocidad y servidores ubicados en Colombia. Permite manejar hasta 80.000 visitas mensuales y ofrece cuentas de correo ilimitadas, garantizando capacidad amplia para proyectos empresariales o múltiples sitios.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</si>
  <si>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</si>
  <si>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</si>
  <si>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</si>
  <si>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</si>
  <si>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</si>
  <si>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</si>
  <si>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</si>
  <si>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</si>
  <si>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</si>
  <si>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</si>
  <si>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Netlify</t>
  </si>
  <si>
    <t>https://www.netlify.com/</t>
  </si>
  <si>
    <t>Frontend</t>
  </si>
  <si>
    <t>Hosting estático / SPA muy fácil de usar: deploy automático desde Git, CDN global, SSL gratis, ideal para React/Vue/Angular. Tiene plan gratuito generoso</t>
  </si>
  <si>
    <t>vercel</t>
  </si>
  <si>
    <t>https://vercel.com/</t>
  </si>
  <si>
    <t>frontend</t>
  </si>
  <si>
    <t>Plataforma optimizada para front‑end moderno (Next.js, React, etc.), con deploy automático, CDN, funciones serverless y previews de branches. Ideal para apps rápidas con buen rendimiento.</t>
  </si>
  <si>
    <t xml:space="preserve">Cloudflare Pages </t>
  </si>
  <si>
    <t>https://pages.cloudflare.com/</t>
  </si>
  <si>
    <t>Hosting estático / JAMstack con red global de edge, alta performance, fácil deploy desde Git y baja latencia — bueno si tu frontend necesita ser rápido globalmente.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</si>
  <si>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</si>
  <si>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</si>
  <si>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</si>
  <si>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</si>
  <si>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</si>
  <si>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</si>
  <si>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</si>
  <si>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</si>
  <si>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</si>
  <si>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</si>
  <si>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Render</t>
  </si>
  <si>
    <t>https://render.com/</t>
  </si>
  <si>
    <t>Backend</t>
  </si>
  <si>
    <t>Plataforma PaaS fácil de usar, con soporte para APIs, bases de datos, contenedores; ideal para backend en Node.js, Python, etc. Buen equilibrio entre facilidad y funcionalidad.</t>
  </si>
  <si>
    <t>Railway</t>
  </si>
  <si>
    <t>https://railway.app/</t>
  </si>
  <si>
    <t>backend</t>
  </si>
  <si>
    <t>Muy conveniente para prototipos o proyectos pequeños: puede desplegar backend + DB rápidamente, con configuración mínima.</t>
  </si>
  <si>
    <t xml:space="preserve">Heroku </t>
  </si>
  <si>
    <t>https://www.heroku.com/</t>
  </si>
  <si>
    <t>Plataforma clásica PaaS: fácil despliegue para APIs/servidores, compatible con muchos lenguajes; buena opción para MVPs o proyectos pequeños-medianos.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</si>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</sst>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_(&quot;$&quot;* #,##0.00_);_(&quot;$&quot;* \(#,##0.00\);_(&quot;$&quot;* &quot;-&quot;??_);_(@_)"/>
  </numFmts>
  <fonts count="42">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b/>
      <sz val="10.0"/>
      <color theme="1"/>
      <name val="Open Sans"/>
    </font>
    <font>
      <sz val="10.0"/>
      <color rgb="FF222222"/>
      <name val="Inherit"/>
    </font>
    <font>
      <sz val="10.0"/>
      <color theme="1"/>
      <name val="Montserrat"/>
    </font>
    <font>
      <sz val="10.0"/>
      <color theme="1"/>
      <name val="Arial Narrow"/>
    </font>
    <font>
      <b/>
      <u/>
      <sz val="10.0"/>
      <color theme="1"/>
      <name val="Arial"/>
    </font>
    <font>
      <u/>
      <sz val="10.0"/>
      <color theme="10"/>
      <name val="Arial"/>
    </font>
    <font>
      <u/>
      <sz val="10.0"/>
      <color rgb="FF000000"/>
      <name val="Arial"/>
    </font>
    <font>
      <u/>
      <sz val="10.0"/>
      <color theme="10"/>
      <name val="Arial"/>
    </font>
    <font>
      <sz val="10.0"/>
      <color rgb="FF444444"/>
      <name val="Arial"/>
    </font>
    <font>
      <b/>
      <u/>
      <sz val="10.0"/>
      <color theme="1"/>
      <name val="Trebuchet MS"/>
    </font>
    <font>
      <sz val="10.0"/>
      <color rgb="FF231F20"/>
      <name val="Arial"/>
    </font>
    <font>
      <sz val="10.0"/>
      <color rgb="FF333333"/>
      <name val="Arial"/>
    </font>
    <font>
      <sz val="10.0"/>
      <color rgb="FF666666"/>
      <name val="Arial"/>
    </font>
    <font>
      <b/>
      <sz val="10.0"/>
      <color rgb="FF333E48"/>
      <name val="Arial"/>
    </font>
    <font>
      <sz val="10.0"/>
      <color rgb="FF333E48"/>
      <name val="Arial"/>
    </font>
    <font>
      <sz val="10.0"/>
      <color rgb="FF4A4A4A"/>
      <name val="Arial"/>
    </font>
    <font>
      <u/>
      <sz val="10.0"/>
      <color rgb="FF000000"/>
      <name val="Arial"/>
    </font>
    <font>
      <u/>
      <sz val="10.0"/>
      <color rgb="FF000000"/>
      <name val="Arial"/>
    </font>
    <font>
      <sz val="10.0"/>
      <color rgb="FF0F1111"/>
      <name val="Arial"/>
    </font>
    <font>
      <color theme="1"/>
      <name val="Arial"/>
      <scheme val="minor"/>
    </font>
    <font>
      <u/>
      <sz val="10.0"/>
      <color theme="10"/>
      <name val="Arial"/>
    </font>
    <font>
      <u/>
      <sz val="10.0"/>
      <color theme="1"/>
      <name val="Arial"/>
    </font>
    <font>
      <sz val="9.0"/>
      <color theme="1"/>
      <name val="Arial"/>
    </font>
    <font>
      <u/>
      <sz val="10.0"/>
      <color rgb="FF0000FF"/>
      <name val="Arial"/>
    </font>
    <font>
      <u/>
      <sz val="9.0"/>
      <color theme="1"/>
      <name val="Arial"/>
    </font>
    <font>
      <u/>
      <sz val="10.0"/>
      <color theme="1"/>
      <name val="Arial"/>
    </font>
  </fonts>
  <fills count="9">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shrinkToFit="0" vertical="center" wrapText="1"/>
    </xf>
    <xf borderId="4" fillId="6" fontId="17" numFmtId="0" xfId="0" applyAlignment="1" applyBorder="1" applyFont="1">
      <alignment horizontal="center" shrinkToFit="0" vertical="center" wrapText="1"/>
    </xf>
    <xf borderId="6" fillId="6" fontId="18" numFmtId="0" xfId="0" applyAlignment="1" applyBorder="1" applyFont="1">
      <alignment horizontal="center"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21"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6" fontId="22" numFmtId="166" xfId="0" applyAlignment="1" applyBorder="1" applyFont="1" applyNumberFormat="1">
      <alignment horizontal="center" shrinkToFit="0" vertical="center" wrapText="1"/>
    </xf>
    <xf borderId="4" fillId="6" fontId="10" numFmtId="0" xfId="0" applyAlignment="1" applyBorder="1" applyFont="1">
      <alignment shrinkToFit="0" vertical="center" wrapText="1"/>
    </xf>
    <xf borderId="4" fillId="6" fontId="23" numFmtId="0" xfId="0" applyAlignment="1" applyBorder="1" applyFont="1">
      <alignment horizontal="center" shrinkToFit="0" vertical="center" wrapText="1"/>
    </xf>
    <xf borderId="6" fillId="6" fontId="24" numFmtId="0" xfId="0" applyAlignment="1" applyBorder="1" applyFont="1">
      <alignment horizontal="center" shrinkToFit="0" vertical="center" wrapText="1"/>
    </xf>
    <xf borderId="4" fillId="7" fontId="24" numFmtId="0" xfId="0" applyAlignment="1" applyBorder="1" applyFill="1" applyFont="1">
      <alignment shrinkToFit="0" vertical="center" wrapText="1"/>
    </xf>
    <xf borderId="4" fillId="6" fontId="24"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5"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6" fontId="10" numFmtId="0" xfId="0" applyAlignment="1" applyBorder="1" applyFont="1">
      <alignment horizontal="center" shrinkToFit="0" wrapText="1"/>
    </xf>
    <xf borderId="4" fillId="0" fontId="26" numFmtId="0" xfId="0" applyAlignment="1" applyBorder="1" applyFont="1">
      <alignment horizontal="center" shrinkToFit="0" vertical="center" wrapText="1"/>
    </xf>
    <xf borderId="4" fillId="6" fontId="27" numFmtId="0" xfId="0" applyAlignment="1" applyBorder="1" applyFont="1">
      <alignment horizontal="center" shrinkToFit="0" vertical="center" wrapText="1"/>
    </xf>
    <xf borderId="4" fillId="6" fontId="27" numFmtId="0" xfId="0" applyAlignment="1" applyBorder="1" applyFont="1">
      <alignment shrinkToFit="0"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10"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10" fillId="0" fontId="12" numFmtId="0" xfId="0" applyAlignment="1" applyBorder="1" applyFont="1">
      <alignment horizontal="left" shrinkToFit="0" vertical="top" wrapText="1"/>
    </xf>
    <xf borderId="9" fillId="5" fontId="4" numFmtId="165" xfId="0" applyAlignment="1" applyBorder="1" applyFont="1" applyNumberFormat="1">
      <alignment horizontal="center" shrinkToFit="0" vertical="center" wrapText="1"/>
    </xf>
    <xf borderId="4" fillId="6" fontId="28" numFmtId="0" xfId="0" applyAlignment="1" applyBorder="1" applyFont="1">
      <alignment horizontal="center" shrinkToFit="0" vertical="center" wrapText="1"/>
    </xf>
    <xf borderId="4" fillId="6" fontId="29" numFmtId="0" xfId="0" applyAlignment="1" applyBorder="1" applyFont="1">
      <alignment horizontal="center" shrinkToFit="0" vertical="center" wrapText="1"/>
    </xf>
    <xf borderId="4" fillId="6" fontId="30"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6" fontId="31" numFmtId="164" xfId="0" applyAlignment="1" applyBorder="1" applyFont="1" applyNumberFormat="1">
      <alignment horizontal="center" shrinkToFit="0" vertical="center" wrapText="1"/>
    </xf>
    <xf borderId="4" fillId="6" fontId="27" numFmtId="0" xfId="0" applyAlignment="1" applyBorder="1" applyFont="1">
      <alignment shrinkToFit="0" vertical="center" wrapText="1"/>
    </xf>
    <xf borderId="4" fillId="6" fontId="1" numFmtId="164" xfId="0" applyAlignment="1" applyBorder="1" applyFont="1" applyNumberFormat="1">
      <alignment horizontal="center" shrinkToFit="0" vertical="center" wrapText="1"/>
    </xf>
    <xf borderId="7" fillId="0" fontId="10" numFmtId="164" xfId="0" applyAlignment="1" applyBorder="1" applyFont="1" applyNumberFormat="1">
      <alignment horizontal="center"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0" fontId="32" numFmtId="0" xfId="0" applyAlignment="1" applyBorder="1" applyFont="1">
      <alignment horizontal="center" shrinkToFit="0" vertical="center" wrapText="1"/>
    </xf>
    <xf borderId="5" fillId="6" fontId="33" numFmtId="166"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6" fontId="10" numFmtId="0" xfId="0" applyAlignment="1" applyBorder="1" applyFont="1">
      <alignment horizontal="center" shrinkToFit="0" vertical="center" wrapText="1"/>
    </xf>
    <xf borderId="6" fillId="6" fontId="34" numFmtId="0" xfId="0" applyAlignment="1" applyBorder="1" applyFont="1">
      <alignment horizontal="center" shrinkToFit="0" vertical="center" wrapText="1"/>
    </xf>
    <xf borderId="6" fillId="6" fontId="28" numFmtId="0" xfId="0" applyAlignment="1" applyBorder="1" applyFont="1">
      <alignment horizontal="center" shrinkToFit="0" vertical="center" wrapText="1"/>
    </xf>
    <xf borderId="0" fillId="0" fontId="35" numFmtId="0" xfId="0" applyFont="1"/>
    <xf borderId="4" fillId="0" fontId="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4" fillId="6" fontId="4" numFmtId="164"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shrinkToFit="0" vertical="top" wrapText="1"/>
    </xf>
    <xf borderId="4" fillId="0" fontId="36" numFmtId="0" xfId="0" applyAlignment="1" applyBorder="1" applyFont="1">
      <alignment horizontal="center" shrinkToFit="0" vertical="top" wrapText="1"/>
    </xf>
    <xf borderId="4" fillId="0" fontId="37" numFmtId="0" xfId="0" applyAlignment="1" applyBorder="1" applyFont="1">
      <alignment horizontal="center" shrinkToFit="0" vertical="top" wrapText="1"/>
    </xf>
    <xf borderId="4" fillId="0" fontId="38" numFmtId="169" xfId="0" applyAlignment="1" applyBorder="1" applyFont="1" applyNumberFormat="1">
      <alignment horizontal="center" shrinkToFit="0" vertical="center" wrapText="1"/>
    </xf>
    <xf borderId="4" fillId="0" fontId="1" numFmtId="169" xfId="0" applyAlignment="1" applyBorder="1" applyFont="1" applyNumberFormat="1">
      <alignment horizontal="center" shrinkToFit="0" vertical="top" wrapText="1"/>
    </xf>
    <xf borderId="4" fillId="0" fontId="38" numFmtId="166" xfId="0" applyAlignment="1" applyBorder="1" applyFont="1" applyNumberFormat="1">
      <alignment horizontal="center" shrinkToFit="0" vertical="center" wrapText="1"/>
    </xf>
    <xf borderId="4" fillId="0" fontId="38" numFmtId="0" xfId="0" applyAlignment="1" applyBorder="1" applyFont="1">
      <alignment horizontal="center" shrinkToFit="0" vertical="center" wrapText="1"/>
    </xf>
    <xf borderId="4" fillId="8" fontId="38" numFmtId="0" xfId="0" applyAlignment="1" applyBorder="1" applyFill="1" applyFont="1">
      <alignment horizontal="center" shrinkToFit="0" vertical="center" wrapText="1"/>
    </xf>
    <xf borderId="4" fillId="0" fontId="39" numFmtId="0" xfId="0" applyAlignment="1" applyBorder="1" applyFont="1">
      <alignment horizontal="center" shrinkToFit="0" vertical="center" wrapText="1"/>
    </xf>
    <xf borderId="4" fillId="0" fontId="40" numFmtId="0" xfId="0" applyAlignment="1" applyBorder="1" applyFont="1">
      <alignment horizontal="center" shrinkToFit="0" vertical="center"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xf borderId="4" fillId="6" fontId="1" numFmtId="0" xfId="0" applyAlignment="1" applyBorder="1" applyFont="1">
      <alignment shrinkToFit="0" vertical="center" wrapText="1"/>
    </xf>
    <xf borderId="4" fillId="0" fontId="4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4" fillId="6"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labella.com.co/falabella-co/product/148453855/Caja-E-ATX-Thermaltake-H390-TG-ATGB-Black-(750W-80-Plus-Bronze)/148453856"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3" Type="http://schemas.openxmlformats.org/officeDocument/2006/relationships/hyperlink" Target="https://articulo.mercadolibre.com.co/MCO-2611582070-nzxt-h510-elite-torre-atx-blancanegra-cristal-doble-_JM?matt_tool=19390127&amp;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curvo-27-fhd-diseno-sin-bordes-color-black-100v240v/p/MCO17431651?pdp_filters=category%3AMCO1656&amp;quantity=3" TargetMode="External"/><Relationship Id="rId2" Type="http://schemas.openxmlformats.org/officeDocument/2006/relationships/hyperlink" Target="https://www.alkosto.com/monitor-samsung-gamer-24-pulgadas-g320nl-plano-negro/p/8806094113846" TargetMode="External"/><Relationship Id="rId3" Type="http://schemas.openxmlformats.org/officeDocument/2006/relationships/hyperlink" Target="https://www.falabella.com.co/falabella-co/product/148209435/Monitor-LG-24-Fhd-120ghz-24U411A-B-Negro/148209436"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rticulo.mercadolibre.com.co/MCO-1592061277-ssd-kingston-nv3-1tb-m2-2280-nvme-pcie-40-gen-4x4-6000mbs-_JM?matt_tool=19390127&amp;utm_source=chatgpt.com&amp;search_layout=stack&amp;type=product&amp;tracking_id=aa8e5d63-5d99-467d-8939-e0e1b492ed9b" TargetMode="External"/><Relationship Id="rId2" Type="http://schemas.openxmlformats.org/officeDocument/2006/relationships/hyperlink" Target="https://www.falabella.com.co/falabella-co/product/124164036/Disco-solido-ssd-crucial-bx500-2tb-sata-2.5-negro/124164037?utm_source=chatgpt.com" TargetMode="External"/><Relationship Id="rId3" Type="http://schemas.openxmlformats.org/officeDocument/2006/relationships/hyperlink" Target="https://www.falabella.com.co/falabella-co/product/144581511/Disco-Solido-Sandisk-Extreme-SSD-V2-1TB-Portable-1050MBs/144581512?utm_source=chatgpt.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duro-interno-western-digital-wd10ezex-1tb-plateado/p/MCO20953266" TargetMode="External"/><Relationship Id="rId2" Type="http://schemas.openxmlformats.org/officeDocument/2006/relationships/hyperlink" Target="https://www.falabella.com.co/falabella-co/product/141017589/Disco-Duro-SEAGATE-2TB-Portatil/141017590?utm_source=chatgpt.com" TargetMode="External"/><Relationship Id="rId3" Type="http://schemas.openxmlformats.org/officeDocument/2006/relationships/hyperlink" Target="https://epoka.com/products/dell-c7f2g-500gb-7-2k-6g-sata-2-5?utm_source=chatgpt.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1294185577-poweredge-t150-tower-server-intel-xeon-e-2336g16gb2tb-_JM" TargetMode="External"/><Relationship Id="rId2" Type="http://schemas.openxmlformats.org/officeDocument/2006/relationships/hyperlink" Target="https://articulo.mercadolibre.com.co/MCO-1318522727-servidor-hp-proliant-ml310e-gen8-v2-r16gb-ssd480-xeon-31ghz-_JM" TargetMode="External"/><Relationship Id="rId3" Type="http://schemas.openxmlformats.org/officeDocument/2006/relationships/hyperlink" Target="https://articulo.mercadolibre.com.co/MCO-1318522727-servidor-hp-proliant-ml310e-gen8-v2-r16gb-ssd480-xeon-31ghz-_J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labella.com.co/falabella-co/product/147131600/Memoria-Corsair-Vengeance-RGB-RS-1x16GB-DDR4-3200-RGB/147131601" TargetMode="External"/><Relationship Id="rId2" Type="http://schemas.openxmlformats.org/officeDocument/2006/relationships/hyperlink" Target="https://listado.mercadolibre.com.co/memoria-ddr4-16gb" TargetMode="External"/><Relationship Id="rId3" Type="http://schemas.openxmlformats.org/officeDocument/2006/relationships/hyperlink" Targe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30536287/Combo-Dell-Wireless-Km3322w-Teclado-+-Mouse/130536288"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mouse-gamer-vertical-inalambrico-recargable-weibo-wb-881-negro/p/MCO16051104?pdp_filters=item_id:MCO2027339616" TargetMode="External"/><Relationship Id="rId2" Type="http://schemas.openxmlformats.org/officeDocument/2006/relationships/hyperlink" Targe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www.falabella.com.co/falabella-co/product/125025600/Mouse-Gamer-Logitech-Inalambrico-Lightspeed-G305-Lila/125025601"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www.ktronix.com/pin-office-microsoft-365-familia-12-meses-6-usuarios/p/196742123845"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icrosoft.com/es-cl/d/suscripcion-a-visual-studio-enterprise/dg7gmgf0dst4" TargetMode="External"/><Relationship Id="rId2" Type="http://schemas.openxmlformats.org/officeDocument/2006/relationships/hyperlink" Target="https://www.ebay.com/itm/167880559845?chn=ps&amp;mkevt=1&amp;mkcid=28&amp;google_free_listing_action=view_item&amp;utm_source=chatgpt.com" TargetMode="External"/><Relationship Id="rId3" Type="http://schemas.openxmlformats.org/officeDocument/2006/relationships/hyperlink" Target="https://visualstudio.microsoft.com/es/vs/pricing/"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latinkeys.com/colombia/producto/sql-server-2022-standard-64-bits-8-cores-cals-ilimitadas/?utm_source=chatgpt.com" TargetMode="External"/><Relationship Id="rId2" Type="http://schemas.openxmlformats.org/officeDocument/2006/relationships/hyperlink" Target="https://www.microsoft.com/es-mx/sql-server/sql-server-2022-pricing" TargetMode="External"/><Relationship Id="rId3" Type="http://schemas.openxmlformats.org/officeDocument/2006/relationships/hyperlink" Target="https://systorecolombia.com/server/252-licencia-sql-server-standard-2019-perpetua-dg7gmgf0fkx9.html"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gohost.com/colombia/comprar-web-hosting.php?utm_source=chatgpt.com" TargetMode="External"/><Relationship Id="rId2" Type="http://schemas.openxmlformats.org/officeDocument/2006/relationships/hyperlink" Target="https://www.hostinger.com/co/recommended/cybernews-hp?utm_medium=affiliate&amp;utm_source=aff187301&amp;utm_campaign=475&amp;session=102ac44c8ef79dff31c857d2206930" TargetMode="External"/><Relationship Id="rId3" Type="http://schemas.openxmlformats.org/officeDocument/2006/relationships/hyperlink" Targe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etlify.com/" TargetMode="External"/><Relationship Id="rId2" Type="http://schemas.openxmlformats.org/officeDocument/2006/relationships/hyperlink" Target="https://vercel.com/" TargetMode="External"/><Relationship Id="rId3" Type="http://schemas.openxmlformats.org/officeDocument/2006/relationships/hyperlink" Target="https://pages.cloudflare.co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render.com/" TargetMode="External"/><Relationship Id="rId2" Type="http://schemas.openxmlformats.org/officeDocument/2006/relationships/hyperlink" Target="https://railway.app/" TargetMode="External"/><Relationship Id="rId3" Type="http://schemas.openxmlformats.org/officeDocument/2006/relationships/hyperlink" Target="https://www.heroku.com/"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599000.0</v>
      </c>
      <c r="F8" s="15">
        <v>135419.0</v>
      </c>
      <c r="G8" s="16">
        <f t="shared" ref="G8:G10" si="1">(E8+F8)/3900</f>
        <v>188.3125641</v>
      </c>
      <c r="H8" s="17">
        <f t="shared" ref="H8:H10" si="2">G8*3900</f>
        <v>734419</v>
      </c>
      <c r="I8" s="18" t="s">
        <v>16</v>
      </c>
      <c r="J8" s="19" t="s">
        <v>17</v>
      </c>
    </row>
    <row r="9" ht="50.25" customHeight="1">
      <c r="A9" s="11" t="s">
        <v>18</v>
      </c>
      <c r="B9" s="20" t="s">
        <v>19</v>
      </c>
      <c r="C9" s="13" t="s">
        <v>20</v>
      </c>
      <c r="D9" s="21" t="s">
        <v>21</v>
      </c>
      <c r="E9" s="15">
        <v>320000.0</v>
      </c>
      <c r="F9" s="15">
        <v>112098.1</v>
      </c>
      <c r="G9" s="16">
        <f t="shared" si="1"/>
        <v>110.7943846</v>
      </c>
      <c r="H9" s="17">
        <f t="shared" si="2"/>
        <v>432098.1</v>
      </c>
      <c r="I9" s="18" t="s">
        <v>16</v>
      </c>
      <c r="J9" s="22" t="s">
        <v>22</v>
      </c>
    </row>
    <row r="10" ht="50.25" customHeight="1">
      <c r="A10" s="11" t="s">
        <v>23</v>
      </c>
      <c r="B10" s="12" t="s">
        <v>24</v>
      </c>
      <c r="C10" s="13" t="s">
        <v>25</v>
      </c>
      <c r="D10" s="23" t="s">
        <v>26</v>
      </c>
      <c r="E10" s="15">
        <v>169480.0</v>
      </c>
      <c r="F10" s="15">
        <v>169480.0</v>
      </c>
      <c r="G10" s="16">
        <f t="shared" si="1"/>
        <v>86.91282051</v>
      </c>
      <c r="H10" s="17">
        <f t="shared" si="2"/>
        <v>338960</v>
      </c>
      <c r="I10" s="18" t="s">
        <v>16</v>
      </c>
      <c r="J10" s="24" t="s">
        <v>27</v>
      </c>
    </row>
    <row r="11" ht="15.0" hidden="1" customHeight="1">
      <c r="A11" s="25"/>
      <c r="B11" s="26"/>
      <c r="C11" s="26"/>
      <c r="D11" s="26"/>
      <c r="E11" s="26"/>
      <c r="F11" s="26"/>
      <c r="G11" s="26"/>
      <c r="H11" s="26"/>
      <c r="I11" s="26"/>
      <c r="J11" s="26"/>
    </row>
    <row r="12" ht="12.75" customHeight="1"/>
    <row r="13" ht="138.75" customHeight="1">
      <c r="A13" s="27" t="s">
        <v>28</v>
      </c>
      <c r="B13" s="4"/>
      <c r="C13" s="4"/>
      <c r="D13" s="4"/>
      <c r="E13" s="4"/>
      <c r="F13" s="4"/>
      <c r="G13" s="4"/>
      <c r="H13" s="4"/>
      <c r="I13" s="4"/>
      <c r="J13" s="5"/>
    </row>
    <row r="14" ht="12.75" customHeight="1"/>
    <row r="15" ht="75.0" customHeight="1">
      <c r="A15" s="27" t="s">
        <v>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29" t="s">
        <v>30</v>
      </c>
      <c r="C7" s="29" t="s">
        <v>31</v>
      </c>
      <c r="D7" s="29" t="s">
        <v>32</v>
      </c>
      <c r="E7" s="29" t="s">
        <v>33</v>
      </c>
      <c r="F7" s="30" t="s">
        <v>34</v>
      </c>
      <c r="G7" s="9" t="s">
        <v>35</v>
      </c>
      <c r="H7" s="29" t="s">
        <v>9</v>
      </c>
      <c r="I7" s="29" t="s">
        <v>36</v>
      </c>
      <c r="J7" s="29" t="s">
        <v>37</v>
      </c>
      <c r="K7" s="10"/>
      <c r="L7" s="10"/>
      <c r="M7" s="10"/>
      <c r="N7" s="10"/>
      <c r="O7" s="10"/>
      <c r="P7" s="10"/>
      <c r="Q7" s="10"/>
      <c r="R7" s="10"/>
      <c r="S7" s="10"/>
      <c r="T7" s="10"/>
      <c r="U7" s="10"/>
      <c r="V7" s="10"/>
      <c r="W7" s="10"/>
      <c r="X7" s="10"/>
      <c r="Y7" s="10"/>
      <c r="Z7" s="10"/>
    </row>
    <row r="8" ht="75.0" customHeight="1">
      <c r="A8" s="29" t="s">
        <v>12</v>
      </c>
      <c r="B8" s="31" t="s">
        <v>38</v>
      </c>
      <c r="C8" s="32" t="s">
        <v>39</v>
      </c>
      <c r="D8" s="33" t="s">
        <v>40</v>
      </c>
      <c r="E8" s="34">
        <v>538485.0</v>
      </c>
      <c r="F8" s="34">
        <v>135907.0</v>
      </c>
      <c r="G8" s="35">
        <f t="shared" ref="G8:G10" si="1">(E8+F8)/3900</f>
        <v>172.9210256</v>
      </c>
      <c r="H8" s="36">
        <f t="shared" ref="H8:H10" si="2">G8*3900</f>
        <v>674392</v>
      </c>
      <c r="I8" s="33" t="s">
        <v>16</v>
      </c>
      <c r="J8" s="37" t="s">
        <v>41</v>
      </c>
    </row>
    <row r="9" ht="50.25" customHeight="1">
      <c r="A9" s="29" t="s">
        <v>18</v>
      </c>
      <c r="B9" s="31" t="s">
        <v>19</v>
      </c>
      <c r="C9" s="38" t="s">
        <v>42</v>
      </c>
      <c r="D9" s="39" t="s">
        <v>43</v>
      </c>
      <c r="E9" s="34">
        <v>409990.0</v>
      </c>
      <c r="F9" s="34">
        <v>132810.0</v>
      </c>
      <c r="G9" s="35">
        <f t="shared" si="1"/>
        <v>139.1794872</v>
      </c>
      <c r="H9" s="36">
        <f t="shared" si="2"/>
        <v>542800</v>
      </c>
      <c r="I9" s="33" t="s">
        <v>16</v>
      </c>
      <c r="J9" s="40" t="s">
        <v>44</v>
      </c>
    </row>
    <row r="10" ht="50.25" customHeight="1">
      <c r="A10" s="29" t="s">
        <v>23</v>
      </c>
      <c r="B10" s="31" t="s">
        <v>45</v>
      </c>
      <c r="C10" s="13" t="s">
        <v>46</v>
      </c>
      <c r="D10" s="41" t="s">
        <v>47</v>
      </c>
      <c r="E10" s="42">
        <v>493900.0</v>
      </c>
      <c r="F10" s="34">
        <v>227981.0</v>
      </c>
      <c r="G10" s="35">
        <f t="shared" si="1"/>
        <v>185.0976923</v>
      </c>
      <c r="H10" s="36">
        <f t="shared" si="2"/>
        <v>721881</v>
      </c>
      <c r="I10" s="33" t="s">
        <v>16</v>
      </c>
      <c r="J10" s="40" t="s">
        <v>48</v>
      </c>
    </row>
    <row r="11" ht="15.0" hidden="1" customHeight="1">
      <c r="A11" s="25"/>
      <c r="B11" s="26"/>
      <c r="C11" s="26"/>
      <c r="D11" s="26"/>
      <c r="E11" s="26"/>
      <c r="F11" s="26"/>
      <c r="G11" s="26"/>
      <c r="H11" s="26"/>
      <c r="I11" s="26"/>
      <c r="J11" s="26"/>
    </row>
    <row r="12" ht="12.75" customHeight="1"/>
    <row r="13" ht="138.75" customHeight="1">
      <c r="A13" s="27" t="s">
        <v>49</v>
      </c>
      <c r="B13" s="4"/>
      <c r="C13" s="4"/>
      <c r="D13" s="4"/>
      <c r="E13" s="4"/>
      <c r="F13" s="4"/>
      <c r="G13" s="4"/>
      <c r="H13" s="4"/>
      <c r="I13" s="4"/>
      <c r="J13" s="5"/>
    </row>
    <row r="14" ht="12.75" customHeight="1"/>
    <row r="15" ht="75.0" customHeight="1">
      <c r="A15" s="27" t="s">
        <v>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43" t="s">
        <v>2</v>
      </c>
      <c r="B7" s="44" t="s">
        <v>51</v>
      </c>
      <c r="C7" s="44" t="s">
        <v>52</v>
      </c>
      <c r="D7" s="44" t="s">
        <v>53</v>
      </c>
      <c r="E7" s="44" t="s">
        <v>54</v>
      </c>
      <c r="F7" s="45" t="s">
        <v>55</v>
      </c>
      <c r="G7" s="46" t="s">
        <v>56</v>
      </c>
      <c r="H7" s="44" t="s">
        <v>9</v>
      </c>
      <c r="I7" s="44" t="s">
        <v>57</v>
      </c>
      <c r="J7" s="44" t="s">
        <v>58</v>
      </c>
      <c r="K7" s="10"/>
      <c r="L7" s="10"/>
      <c r="M7" s="10"/>
      <c r="N7" s="10"/>
      <c r="O7" s="10"/>
      <c r="P7" s="10"/>
      <c r="Q7" s="10"/>
      <c r="R7" s="10"/>
      <c r="S7" s="10"/>
      <c r="T7" s="10"/>
      <c r="U7" s="10"/>
      <c r="V7" s="10"/>
      <c r="W7" s="10"/>
      <c r="X7" s="10"/>
      <c r="Y7" s="10"/>
      <c r="Z7" s="10"/>
    </row>
    <row r="8" ht="50.25" customHeight="1">
      <c r="A8" s="11" t="s">
        <v>12</v>
      </c>
      <c r="B8" s="33" t="s">
        <v>59</v>
      </c>
      <c r="C8" s="13" t="s">
        <v>60</v>
      </c>
      <c r="D8" s="14" t="s">
        <v>61</v>
      </c>
      <c r="E8" s="42">
        <v>360905.0</v>
      </c>
      <c r="F8" s="34">
        <v>30381.0</v>
      </c>
      <c r="G8" s="35">
        <f t="shared" ref="G8:G10" si="1">(E8+F8)/3900</f>
        <v>100.3297436</v>
      </c>
      <c r="H8" s="36">
        <f t="shared" ref="H8:H10" si="2">G8*3900</f>
        <v>391286</v>
      </c>
      <c r="I8" s="33" t="s">
        <v>62</v>
      </c>
      <c r="J8" s="47" t="s">
        <v>63</v>
      </c>
    </row>
    <row r="9" ht="77.25" customHeight="1">
      <c r="A9" s="11" t="s">
        <v>18</v>
      </c>
      <c r="B9" s="48" t="s">
        <v>64</v>
      </c>
      <c r="C9" s="13" t="s">
        <v>65</v>
      </c>
      <c r="D9" s="49" t="s">
        <v>66</v>
      </c>
      <c r="E9" s="42">
        <v>649900.0</v>
      </c>
      <c r="F9" s="33">
        <v>104481.0</v>
      </c>
      <c r="G9" s="35">
        <f t="shared" si="1"/>
        <v>193.4310256</v>
      </c>
      <c r="H9" s="36">
        <f t="shared" si="2"/>
        <v>754381</v>
      </c>
      <c r="I9" s="33" t="s">
        <v>62</v>
      </c>
      <c r="J9" s="50" t="s">
        <v>67</v>
      </c>
    </row>
    <row r="10" ht="50.25" customHeight="1">
      <c r="A10" s="11" t="s">
        <v>23</v>
      </c>
      <c r="B10" s="51" t="s">
        <v>64</v>
      </c>
      <c r="C10" s="13" t="s">
        <v>68</v>
      </c>
      <c r="D10" s="51" t="s">
        <v>69</v>
      </c>
      <c r="E10" s="52">
        <v>494300.0</v>
      </c>
      <c r="F10" s="51">
        <v>57931.0</v>
      </c>
      <c r="G10" s="35">
        <f t="shared" si="1"/>
        <v>141.5976923</v>
      </c>
      <c r="H10" s="36">
        <f t="shared" si="2"/>
        <v>552231</v>
      </c>
      <c r="I10" s="33" t="s">
        <v>62</v>
      </c>
      <c r="J10" s="50" t="s">
        <v>70</v>
      </c>
    </row>
    <row r="11" ht="15.0" hidden="1" customHeight="1">
      <c r="A11" s="25"/>
      <c r="B11" s="53"/>
      <c r="C11" s="33">
        <v>3.00892144E9</v>
      </c>
      <c r="D11" s="53"/>
      <c r="E11" s="53"/>
      <c r="F11" s="53"/>
      <c r="G11" s="54"/>
      <c r="H11" s="54"/>
      <c r="I11" s="54"/>
      <c r="J11" s="54"/>
    </row>
    <row r="12" ht="12.75" customHeight="1"/>
    <row r="13" ht="138.75" customHeight="1">
      <c r="A13" s="27" t="s">
        <v>71</v>
      </c>
      <c r="B13" s="4"/>
      <c r="C13" s="4"/>
      <c r="D13" s="4"/>
      <c r="E13" s="4"/>
      <c r="F13" s="4"/>
      <c r="G13" s="4"/>
      <c r="H13" s="4"/>
      <c r="I13" s="4"/>
      <c r="J13" s="5"/>
    </row>
    <row r="14" ht="12.75" customHeight="1"/>
    <row r="15" ht="75.0" customHeight="1">
      <c r="A15" s="27" t="s">
        <v>72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73</v>
      </c>
      <c r="C7" s="44" t="s">
        <v>74</v>
      </c>
      <c r="D7" s="44" t="s">
        <v>75</v>
      </c>
      <c r="E7" s="44" t="s">
        <v>76</v>
      </c>
      <c r="F7" s="45" t="s">
        <v>77</v>
      </c>
      <c r="G7" s="46" t="s">
        <v>78</v>
      </c>
      <c r="H7" s="44" t="s">
        <v>9</v>
      </c>
      <c r="I7" s="44" t="s">
        <v>79</v>
      </c>
      <c r="J7" s="44" t="s">
        <v>80</v>
      </c>
      <c r="K7" s="10"/>
      <c r="L7" s="10"/>
      <c r="M7" s="10"/>
      <c r="N7" s="10"/>
      <c r="O7" s="10"/>
      <c r="P7" s="10"/>
      <c r="Q7" s="10"/>
      <c r="R7" s="10"/>
      <c r="S7" s="10"/>
      <c r="T7" s="10"/>
      <c r="U7" s="10"/>
      <c r="V7" s="10"/>
      <c r="W7" s="10"/>
      <c r="X7" s="10"/>
      <c r="Y7" s="10"/>
      <c r="Z7" s="10"/>
    </row>
    <row r="8" ht="50.25" customHeight="1">
      <c r="A8" s="55" t="s">
        <v>12</v>
      </c>
      <c r="B8" s="33" t="s">
        <v>38</v>
      </c>
      <c r="C8" s="13" t="s">
        <v>81</v>
      </c>
      <c r="D8" s="14" t="s">
        <v>82</v>
      </c>
      <c r="E8" s="56">
        <v>168900.0</v>
      </c>
      <c r="F8" s="57">
        <f t="shared" ref="F8:F10" si="1">E8*1.19</f>
        <v>200991</v>
      </c>
      <c r="G8" s="58">
        <f t="shared" ref="G8:G10" si="2">(E8+F8)/3900</f>
        <v>94.84384615</v>
      </c>
      <c r="H8" s="36">
        <f t="shared" ref="H8:H10" si="3">G8*3900</f>
        <v>369891</v>
      </c>
      <c r="I8" s="33" t="s">
        <v>62</v>
      </c>
      <c r="J8" s="14" t="s">
        <v>83</v>
      </c>
    </row>
    <row r="9" ht="50.25" customHeight="1">
      <c r="A9" s="55" t="s">
        <v>18</v>
      </c>
      <c r="B9" s="33" t="s">
        <v>84</v>
      </c>
      <c r="C9" s="13" t="s">
        <v>85</v>
      </c>
      <c r="D9" s="41" t="s">
        <v>86</v>
      </c>
      <c r="E9" s="56">
        <v>688000.0</v>
      </c>
      <c r="F9" s="57">
        <f t="shared" si="1"/>
        <v>818720</v>
      </c>
      <c r="G9" s="58">
        <f t="shared" si="2"/>
        <v>386.3384615</v>
      </c>
      <c r="H9" s="36">
        <f t="shared" si="3"/>
        <v>1506720</v>
      </c>
      <c r="I9" s="33" t="s">
        <v>62</v>
      </c>
      <c r="J9" s="14" t="s">
        <v>87</v>
      </c>
    </row>
    <row r="10" ht="50.25" customHeight="1">
      <c r="A10" s="55" t="s">
        <v>23</v>
      </c>
      <c r="B10" s="33" t="s">
        <v>38</v>
      </c>
      <c r="C10" s="13" t="s">
        <v>88</v>
      </c>
      <c r="D10" s="33" t="s">
        <v>89</v>
      </c>
      <c r="E10" s="57">
        <v>495000.0</v>
      </c>
      <c r="F10" s="57">
        <f t="shared" si="1"/>
        <v>589050</v>
      </c>
      <c r="G10" s="58">
        <f t="shared" si="2"/>
        <v>277.9615385</v>
      </c>
      <c r="H10" s="36">
        <f t="shared" si="3"/>
        <v>1084050</v>
      </c>
      <c r="I10" s="33" t="s">
        <v>62</v>
      </c>
      <c r="J10" s="33" t="s">
        <v>90</v>
      </c>
    </row>
    <row r="11" ht="15.0" hidden="1" customHeight="1">
      <c r="A11" s="25"/>
      <c r="B11" s="59"/>
      <c r="C11" s="59"/>
      <c r="D11" s="59"/>
      <c r="E11" s="59"/>
      <c r="F11" s="59"/>
      <c r="G11" s="59"/>
      <c r="H11" s="59"/>
      <c r="I11" s="59"/>
      <c r="J11" s="59"/>
    </row>
    <row r="12" ht="12.75" customHeight="1"/>
    <row r="13" ht="138.75" customHeight="1">
      <c r="A13" s="27" t="s">
        <v>91</v>
      </c>
      <c r="B13" s="4"/>
      <c r="C13" s="4"/>
      <c r="D13" s="4"/>
      <c r="E13" s="4"/>
      <c r="F13" s="4"/>
      <c r="G13" s="4"/>
      <c r="H13" s="4"/>
      <c r="I13" s="4"/>
      <c r="J13" s="5"/>
    </row>
    <row r="14" ht="12.75" customHeight="1"/>
    <row r="15" ht="75.0" customHeight="1">
      <c r="A15" s="27" t="s">
        <v>92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1&amp;type=product&amp;tracking_id=f6a23257-2aaa-49d5-8d32-eb98f416c944&amp;wid=MCO1339638675&amp;sid=search"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93</v>
      </c>
      <c r="C7" s="44" t="s">
        <v>94</v>
      </c>
      <c r="D7" s="44" t="s">
        <v>95</v>
      </c>
      <c r="E7" s="44" t="s">
        <v>96</v>
      </c>
      <c r="F7" s="45" t="s">
        <v>97</v>
      </c>
      <c r="G7" s="60" t="s">
        <v>98</v>
      </c>
      <c r="H7" s="44" t="s">
        <v>9</v>
      </c>
      <c r="I7" s="44" t="s">
        <v>99</v>
      </c>
      <c r="J7" s="44" t="s">
        <v>100</v>
      </c>
      <c r="K7" s="10"/>
      <c r="L7" s="10"/>
      <c r="M7" s="10"/>
      <c r="N7" s="10"/>
      <c r="O7" s="10"/>
      <c r="P7" s="10"/>
      <c r="Q7" s="10"/>
      <c r="R7" s="10"/>
      <c r="S7" s="10"/>
      <c r="T7" s="10"/>
      <c r="U7" s="10"/>
      <c r="V7" s="10"/>
      <c r="W7" s="10"/>
      <c r="X7" s="10"/>
      <c r="Y7" s="10"/>
      <c r="Z7" s="10"/>
    </row>
    <row r="8" ht="50.25" customHeight="1">
      <c r="A8" s="55" t="s">
        <v>12</v>
      </c>
      <c r="B8" s="33" t="s">
        <v>101</v>
      </c>
      <c r="C8" s="13" t="s">
        <v>102</v>
      </c>
      <c r="D8" s="33" t="s">
        <v>103</v>
      </c>
      <c r="E8" s="57">
        <v>8400000.0</v>
      </c>
      <c r="F8" s="57">
        <f t="shared" ref="F8:F10" si="1">E8*1.19</f>
        <v>9996000</v>
      </c>
      <c r="G8" s="35">
        <f t="shared" ref="G8:G10" si="2">(F8+E8)/3900</f>
        <v>4716.923077</v>
      </c>
      <c r="H8" s="36">
        <f t="shared" ref="H8:H10" si="3">G8*3900</f>
        <v>18396000</v>
      </c>
      <c r="I8" s="33" t="s">
        <v>62</v>
      </c>
      <c r="J8" s="61" t="s">
        <v>104</v>
      </c>
    </row>
    <row r="9" ht="50.25" customHeight="1">
      <c r="A9" s="55" t="s">
        <v>18</v>
      </c>
      <c r="B9" s="48" t="s">
        <v>59</v>
      </c>
      <c r="C9" s="13" t="s">
        <v>105</v>
      </c>
      <c r="D9" s="14" t="s">
        <v>106</v>
      </c>
      <c r="E9" s="56">
        <v>1199999.0</v>
      </c>
      <c r="F9" s="57">
        <f t="shared" si="1"/>
        <v>1427998.81</v>
      </c>
      <c r="G9" s="35">
        <f t="shared" si="2"/>
        <v>673.8455923</v>
      </c>
      <c r="H9" s="36">
        <f t="shared" si="3"/>
        <v>2627997.81</v>
      </c>
      <c r="I9" s="33" t="s">
        <v>62</v>
      </c>
      <c r="J9" s="14" t="s">
        <v>107</v>
      </c>
    </row>
    <row r="10" ht="50.25" customHeight="1">
      <c r="A10" s="55" t="s">
        <v>23</v>
      </c>
      <c r="B10" s="33" t="s">
        <v>59</v>
      </c>
      <c r="C10" s="13" t="s">
        <v>105</v>
      </c>
      <c r="D10" s="14" t="s">
        <v>108</v>
      </c>
      <c r="E10" s="56">
        <v>1199999.0</v>
      </c>
      <c r="F10" s="57">
        <f t="shared" si="1"/>
        <v>1427998.81</v>
      </c>
      <c r="G10" s="35">
        <f t="shared" si="2"/>
        <v>673.8455923</v>
      </c>
      <c r="H10" s="36">
        <f t="shared" si="3"/>
        <v>2627997.81</v>
      </c>
      <c r="I10" s="33" t="s">
        <v>62</v>
      </c>
      <c r="J10" s="33" t="s">
        <v>109</v>
      </c>
    </row>
    <row r="11" ht="15.0" hidden="1" customHeight="1">
      <c r="A11" s="25"/>
      <c r="B11" s="59"/>
      <c r="C11" s="59"/>
      <c r="D11" s="59"/>
      <c r="E11" s="59"/>
      <c r="F11" s="59"/>
      <c r="G11" s="59"/>
      <c r="H11" s="59"/>
      <c r="I11" s="59"/>
      <c r="J11" s="59"/>
    </row>
    <row r="12" ht="12.75" customHeight="1"/>
    <row r="13" ht="138.75" customHeight="1">
      <c r="A13" s="27" t="s">
        <v>110</v>
      </c>
      <c r="B13" s="4"/>
      <c r="C13" s="4"/>
      <c r="D13" s="4"/>
      <c r="E13" s="4"/>
      <c r="F13" s="4"/>
      <c r="G13" s="4"/>
      <c r="H13" s="4"/>
      <c r="I13" s="4"/>
      <c r="J13" s="5"/>
    </row>
    <row r="14" ht="12.75" customHeight="1"/>
    <row r="15" ht="75.0" customHeight="1">
      <c r="A15" s="27" t="s">
        <v>111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sition=8&amp;search_layout=stack&amp;type=item&amp;tracking_id=6ce23d24-4588-4653-bb99-db7e1509e5aa" ref="C8"/>
    <hyperlink r:id="rId2" location="position=4&amp;search_layout=stack&amp;type=item&amp;tracking_id=aa17d476-2270-48e4-afc3-371dfada513d" ref="C9"/>
    <hyperlink r:id="rId3" location="position=4&amp;search_layout=stack&amp;type=item&amp;tracking_id=aa17d476-2270-48e4-afc3-371dfada513d"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112</v>
      </c>
      <c r="C7" s="44" t="s">
        <v>113</v>
      </c>
      <c r="D7" s="44" t="s">
        <v>114</v>
      </c>
      <c r="E7" s="44" t="s">
        <v>115</v>
      </c>
      <c r="F7" s="45" t="s">
        <v>116</v>
      </c>
      <c r="G7" s="46" t="s">
        <v>117</v>
      </c>
      <c r="H7" s="44" t="s">
        <v>9</v>
      </c>
      <c r="I7" s="44" t="s">
        <v>118</v>
      </c>
      <c r="J7" s="44" t="s">
        <v>119</v>
      </c>
      <c r="K7" s="10"/>
      <c r="L7" s="10"/>
      <c r="M7" s="10"/>
      <c r="N7" s="10"/>
      <c r="O7" s="10"/>
      <c r="P7" s="10"/>
      <c r="Q7" s="10"/>
      <c r="R7" s="10"/>
      <c r="S7" s="10"/>
      <c r="T7" s="10"/>
      <c r="U7" s="10"/>
      <c r="V7" s="10"/>
      <c r="W7" s="10"/>
      <c r="X7" s="10"/>
      <c r="Y7" s="10"/>
      <c r="Z7" s="10"/>
    </row>
    <row r="8" ht="50.25" customHeight="1">
      <c r="A8" s="55" t="s">
        <v>12</v>
      </c>
      <c r="B8" s="33" t="s">
        <v>45</v>
      </c>
      <c r="C8" s="13" t="s">
        <v>120</v>
      </c>
      <c r="D8" s="48" t="s">
        <v>121</v>
      </c>
      <c r="E8" s="57">
        <v>474900.0</v>
      </c>
      <c r="F8" s="57">
        <f t="shared" ref="F8:F10" si="1">E8*1.19</f>
        <v>565131</v>
      </c>
      <c r="G8" s="35">
        <f t="shared" ref="G8:G10" si="2">(F8+E8)/3900</f>
        <v>266.6746154</v>
      </c>
      <c r="H8" s="36">
        <f t="shared" ref="H8:H10" si="3">G8*3900</f>
        <v>1040031</v>
      </c>
      <c r="I8" s="33" t="s">
        <v>16</v>
      </c>
      <c r="J8" s="14" t="s">
        <v>122</v>
      </c>
    </row>
    <row r="9" ht="50.25" customHeight="1">
      <c r="A9" s="55" t="s">
        <v>18</v>
      </c>
      <c r="B9" s="48" t="s">
        <v>123</v>
      </c>
      <c r="C9" s="13" t="s">
        <v>124</v>
      </c>
      <c r="D9" s="14" t="s">
        <v>125</v>
      </c>
      <c r="E9" s="56">
        <v>180039.0</v>
      </c>
      <c r="F9" s="57">
        <f t="shared" si="1"/>
        <v>214246.41</v>
      </c>
      <c r="G9" s="35">
        <f t="shared" si="2"/>
        <v>101.0988231</v>
      </c>
      <c r="H9" s="36">
        <f t="shared" si="3"/>
        <v>394285.41</v>
      </c>
      <c r="I9" s="33" t="s">
        <v>16</v>
      </c>
      <c r="J9" s="14" t="s">
        <v>126</v>
      </c>
    </row>
    <row r="10" ht="50.25" customHeight="1">
      <c r="A10" s="55" t="s">
        <v>23</v>
      </c>
      <c r="B10" s="33" t="s">
        <v>45</v>
      </c>
      <c r="C10" s="13" t="s">
        <v>127</v>
      </c>
      <c r="D10" s="62" t="s">
        <v>128</v>
      </c>
      <c r="E10" s="56">
        <v>260000.0</v>
      </c>
      <c r="F10" s="57">
        <f t="shared" si="1"/>
        <v>309400</v>
      </c>
      <c r="G10" s="35">
        <f t="shared" si="2"/>
        <v>146</v>
      </c>
      <c r="H10" s="36">
        <f t="shared" si="3"/>
        <v>569400</v>
      </c>
      <c r="I10" s="33" t="s">
        <v>16</v>
      </c>
      <c r="J10" s="63" t="s">
        <v>129</v>
      </c>
    </row>
    <row r="11" ht="15.0" hidden="1" customHeight="1">
      <c r="A11" s="25"/>
      <c r="B11" s="59"/>
      <c r="C11" s="59"/>
      <c r="D11" s="59"/>
      <c r="E11" s="59"/>
      <c r="F11" s="59"/>
      <c r="G11" s="59"/>
      <c r="H11" s="59"/>
      <c r="I11" s="59"/>
      <c r="J11" s="59"/>
    </row>
    <row r="12" ht="12.75" customHeight="1"/>
    <row r="13" ht="138.75" customHeight="1">
      <c r="A13" s="27" t="s">
        <v>130</v>
      </c>
      <c r="B13" s="4"/>
      <c r="C13" s="4"/>
      <c r="D13" s="4"/>
      <c r="E13" s="4"/>
      <c r="F13" s="4"/>
      <c r="G13" s="4"/>
      <c r="H13" s="4"/>
      <c r="I13" s="4"/>
      <c r="J13" s="5"/>
    </row>
    <row r="14" ht="12.75" customHeight="1"/>
    <row r="15" ht="75.0" customHeight="1">
      <c r="A15" s="27" t="s">
        <v>131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4">
        <v>0.0</v>
      </c>
      <c r="B5" s="4"/>
      <c r="C5" s="4"/>
      <c r="D5" s="4"/>
      <c r="E5" s="4"/>
      <c r="F5" s="4"/>
      <c r="G5" s="4"/>
      <c r="H5" s="4"/>
      <c r="I5" s="4"/>
      <c r="J5" s="5"/>
    </row>
    <row r="6" ht="15.75" customHeight="1"/>
    <row r="7" ht="75.75" customHeight="1">
      <c r="A7" s="6" t="s">
        <v>2</v>
      </c>
      <c r="B7" s="44" t="s">
        <v>132</v>
      </c>
      <c r="C7" s="44" t="s">
        <v>133</v>
      </c>
      <c r="D7" s="44" t="s">
        <v>134</v>
      </c>
      <c r="E7" s="44" t="s">
        <v>135</v>
      </c>
      <c r="F7" s="45" t="s">
        <v>136</v>
      </c>
      <c r="G7" s="46" t="s">
        <v>137</v>
      </c>
      <c r="H7" s="44" t="s">
        <v>9</v>
      </c>
      <c r="I7" s="44" t="s">
        <v>138</v>
      </c>
      <c r="J7" s="44" t="s">
        <v>139</v>
      </c>
      <c r="K7" s="10"/>
      <c r="L7" s="10"/>
      <c r="M7" s="10"/>
      <c r="N7" s="10"/>
      <c r="O7" s="10"/>
      <c r="P7" s="10"/>
      <c r="Q7" s="10"/>
      <c r="R7" s="10"/>
      <c r="S7" s="10"/>
      <c r="T7" s="10"/>
      <c r="U7" s="10"/>
      <c r="V7" s="10"/>
      <c r="W7" s="10"/>
      <c r="X7" s="10"/>
      <c r="Y7" s="10"/>
      <c r="Z7" s="10"/>
    </row>
    <row r="8" ht="50.25" customHeight="1">
      <c r="A8" s="55" t="s">
        <v>12</v>
      </c>
      <c r="B8" s="33" t="s">
        <v>64</v>
      </c>
      <c r="C8" s="13" t="s">
        <v>140</v>
      </c>
      <c r="D8" s="49" t="s">
        <v>141</v>
      </c>
      <c r="E8" s="65">
        <v>84888.0</v>
      </c>
      <c r="F8" s="57">
        <f t="shared" ref="F8:F10" si="1">E8*1.19</f>
        <v>101016.72</v>
      </c>
      <c r="G8" s="35">
        <f t="shared" ref="G8:G10" si="2">(E8+F8)/3900</f>
        <v>47.66787692</v>
      </c>
      <c r="H8" s="36">
        <f t="shared" ref="H8:H10" si="3">G8*3900</f>
        <v>185904.72</v>
      </c>
      <c r="I8" s="33" t="s">
        <v>16</v>
      </c>
      <c r="J8" s="66" t="s">
        <v>142</v>
      </c>
    </row>
    <row r="9" ht="50.25" customHeight="1">
      <c r="A9" s="55" t="s">
        <v>18</v>
      </c>
      <c r="B9" s="48" t="s">
        <v>143</v>
      </c>
      <c r="C9" s="13" t="s">
        <v>144</v>
      </c>
      <c r="D9" s="41" t="s">
        <v>145</v>
      </c>
      <c r="E9" s="67">
        <v>59900.0</v>
      </c>
      <c r="F9" s="57">
        <f t="shared" si="1"/>
        <v>71281</v>
      </c>
      <c r="G9" s="35">
        <f t="shared" si="2"/>
        <v>33.63615385</v>
      </c>
      <c r="H9" s="36">
        <f t="shared" si="3"/>
        <v>131181</v>
      </c>
      <c r="I9" s="33" t="s">
        <v>16</v>
      </c>
      <c r="J9" s="40" t="s">
        <v>146</v>
      </c>
    </row>
    <row r="10" ht="50.25" customHeight="1">
      <c r="A10" s="55" t="s">
        <v>23</v>
      </c>
      <c r="B10" s="51" t="s">
        <v>64</v>
      </c>
      <c r="C10" s="13" t="s">
        <v>147</v>
      </c>
      <c r="D10" s="51" t="s">
        <v>148</v>
      </c>
      <c r="E10" s="68">
        <v>219900.0</v>
      </c>
      <c r="F10" s="68">
        <f t="shared" si="1"/>
        <v>261681</v>
      </c>
      <c r="G10" s="35">
        <f t="shared" si="2"/>
        <v>123.4823077</v>
      </c>
      <c r="H10" s="36">
        <f t="shared" si="3"/>
        <v>481581</v>
      </c>
      <c r="I10" s="33" t="s">
        <v>16</v>
      </c>
      <c r="J10" s="69" t="s">
        <v>149</v>
      </c>
    </row>
    <row r="11" ht="15.0" hidden="1" customHeight="1">
      <c r="A11" s="70"/>
      <c r="B11" s="53"/>
      <c r="C11" s="33" t="s">
        <v>150</v>
      </c>
      <c r="D11" s="53"/>
      <c r="E11" s="53"/>
      <c r="F11" s="53"/>
      <c r="G11" s="54"/>
      <c r="H11" s="54"/>
      <c r="I11" s="54"/>
      <c r="J11" s="54"/>
    </row>
    <row r="12" ht="12.75" customHeight="1"/>
    <row r="13" ht="138.75" customHeight="1">
      <c r="A13" s="27" t="s">
        <v>151</v>
      </c>
      <c r="B13" s="4"/>
      <c r="C13" s="4"/>
      <c r="D13" s="4"/>
      <c r="E13" s="4"/>
      <c r="F13" s="4"/>
      <c r="G13" s="4"/>
      <c r="H13" s="4"/>
      <c r="I13" s="4"/>
      <c r="J13" s="5"/>
    </row>
    <row r="14" ht="12.75" customHeight="1"/>
    <row r="15" ht="75.0" customHeight="1">
      <c r="A15" s="27" t="s">
        <v>152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153</v>
      </c>
      <c r="C7" s="44" t="s">
        <v>154</v>
      </c>
      <c r="D7" s="44" t="s">
        <v>155</v>
      </c>
      <c r="E7" s="44" t="s">
        <v>156</v>
      </c>
      <c r="F7" s="45" t="s">
        <v>157</v>
      </c>
      <c r="G7" s="46" t="s">
        <v>158</v>
      </c>
      <c r="H7" s="44" t="s">
        <v>9</v>
      </c>
      <c r="I7" s="44" t="s">
        <v>159</v>
      </c>
      <c r="J7" s="44" t="s">
        <v>160</v>
      </c>
      <c r="K7" s="10"/>
      <c r="L7" s="10"/>
      <c r="M7" s="10"/>
      <c r="N7" s="10"/>
      <c r="O7" s="10"/>
      <c r="P7" s="10"/>
      <c r="Q7" s="10"/>
      <c r="R7" s="10"/>
      <c r="S7" s="10"/>
      <c r="T7" s="10"/>
      <c r="U7" s="10"/>
      <c r="V7" s="10"/>
      <c r="W7" s="10"/>
      <c r="X7" s="10"/>
      <c r="Y7" s="10"/>
      <c r="Z7" s="10"/>
    </row>
    <row r="8" ht="50.25" customHeight="1">
      <c r="A8" s="55" t="s">
        <v>12</v>
      </c>
      <c r="B8" s="33" t="s">
        <v>59</v>
      </c>
      <c r="C8" s="13" t="s">
        <v>161</v>
      </c>
      <c r="D8" s="71" t="s">
        <v>162</v>
      </c>
      <c r="E8" s="56">
        <v>29640.0</v>
      </c>
      <c r="F8" s="57">
        <f t="shared" ref="F8:F10" si="1">E8*1.19</f>
        <v>35271.6</v>
      </c>
      <c r="G8" s="35">
        <f t="shared" ref="G8:G10" si="2">(E8+F8)/3900</f>
        <v>16.644</v>
      </c>
      <c r="H8" s="72">
        <f t="shared" ref="H8:H10" si="3">G8*3900</f>
        <v>64911.6</v>
      </c>
      <c r="I8" s="73" t="s">
        <v>62</v>
      </c>
      <c r="J8" s="74" t="s">
        <v>163</v>
      </c>
    </row>
    <row r="9" ht="50.25" customHeight="1">
      <c r="A9" s="55" t="s">
        <v>18</v>
      </c>
      <c r="B9" s="48" t="s">
        <v>19</v>
      </c>
      <c r="C9" s="13" t="s">
        <v>164</v>
      </c>
      <c r="D9" s="33" t="s">
        <v>165</v>
      </c>
      <c r="E9" s="57">
        <v>89900.0</v>
      </c>
      <c r="F9" s="57">
        <f t="shared" si="1"/>
        <v>106981</v>
      </c>
      <c r="G9" s="35">
        <f t="shared" si="2"/>
        <v>50.48230769</v>
      </c>
      <c r="H9" s="72">
        <f t="shared" si="3"/>
        <v>196881</v>
      </c>
      <c r="I9" s="73" t="s">
        <v>62</v>
      </c>
      <c r="J9" s="75" t="s">
        <v>166</v>
      </c>
    </row>
    <row r="10" ht="50.25" customHeight="1">
      <c r="A10" s="55" t="s">
        <v>23</v>
      </c>
      <c r="B10" s="33" t="s">
        <v>45</v>
      </c>
      <c r="C10" s="13" t="s">
        <v>167</v>
      </c>
      <c r="D10" s="33" t="s">
        <v>168</v>
      </c>
      <c r="E10" s="56">
        <v>145900.0</v>
      </c>
      <c r="F10" s="57">
        <f t="shared" si="1"/>
        <v>173621</v>
      </c>
      <c r="G10" s="35">
        <f t="shared" si="2"/>
        <v>81.92846154</v>
      </c>
      <c r="H10" s="72">
        <f t="shared" si="3"/>
        <v>319521</v>
      </c>
      <c r="I10" s="73" t="s">
        <v>62</v>
      </c>
      <c r="J10" s="76" t="s">
        <v>169</v>
      </c>
    </row>
    <row r="11" ht="15.0" hidden="1" customHeight="1">
      <c r="A11" s="25"/>
      <c r="B11" s="59"/>
      <c r="C11" s="59"/>
      <c r="D11" s="59"/>
      <c r="E11" s="59"/>
      <c r="F11" s="59"/>
      <c r="G11" s="59"/>
      <c r="H11" s="59"/>
      <c r="I11" s="77" t="s">
        <v>62</v>
      </c>
      <c r="J11" s="59"/>
    </row>
    <row r="12" ht="12.75" customHeight="1"/>
    <row r="13" ht="138.75" customHeight="1">
      <c r="A13" s="27" t="s">
        <v>170</v>
      </c>
      <c r="B13" s="4"/>
      <c r="C13" s="4"/>
      <c r="D13" s="4"/>
      <c r="E13" s="4"/>
      <c r="F13" s="4"/>
      <c r="G13" s="4"/>
      <c r="H13" s="4"/>
      <c r="I13" s="4"/>
      <c r="J13" s="5"/>
    </row>
    <row r="14" ht="12.75" customHeight="1"/>
    <row r="15" ht="75.0" customHeight="1">
      <c r="A15" s="27" t="s">
        <v>171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172</v>
      </c>
      <c r="C7" s="44" t="s">
        <v>173</v>
      </c>
      <c r="D7" s="44" t="s">
        <v>174</v>
      </c>
      <c r="E7" s="44" t="s">
        <v>175</v>
      </c>
      <c r="F7" s="45" t="s">
        <v>176</v>
      </c>
      <c r="G7" s="46" t="s">
        <v>177</v>
      </c>
      <c r="H7" s="44" t="s">
        <v>9</v>
      </c>
      <c r="I7" s="44" t="s">
        <v>178</v>
      </c>
      <c r="J7" s="44" t="s">
        <v>179</v>
      </c>
      <c r="K7" s="10"/>
      <c r="L7" s="10"/>
      <c r="M7" s="10"/>
      <c r="N7" s="10"/>
      <c r="O7" s="10"/>
      <c r="P7" s="10"/>
      <c r="Q7" s="10"/>
      <c r="R7" s="10"/>
      <c r="S7" s="10"/>
      <c r="T7" s="10"/>
      <c r="U7" s="10"/>
      <c r="V7" s="10"/>
      <c r="W7" s="10"/>
      <c r="X7" s="10"/>
      <c r="Y7" s="10"/>
      <c r="Z7" s="10"/>
    </row>
    <row r="8" ht="50.25" customHeight="1">
      <c r="A8" s="55" t="s">
        <v>12</v>
      </c>
      <c r="B8" s="78" t="s">
        <v>180</v>
      </c>
      <c r="C8" s="13" t="s">
        <v>181</v>
      </c>
      <c r="D8" s="79" t="s">
        <v>182</v>
      </c>
      <c r="E8" s="67">
        <v>371740.0</v>
      </c>
      <c r="F8" s="80">
        <f t="shared" ref="F8:F10" si="1">E8*1.19</f>
        <v>442370.6</v>
      </c>
      <c r="G8" s="81">
        <f t="shared" ref="G8:G10" si="2">(F8+E8)/3900</f>
        <v>208.7463077</v>
      </c>
      <c r="H8" s="82">
        <f t="shared" ref="H8:H10" si="3">G8*3900</f>
        <v>814110.6</v>
      </c>
      <c r="I8" s="78" t="s">
        <v>16</v>
      </c>
      <c r="J8" s="79" t="s">
        <v>183</v>
      </c>
    </row>
    <row r="9" ht="50.25" customHeight="1">
      <c r="A9" s="55" t="s">
        <v>18</v>
      </c>
      <c r="B9" s="78" t="s">
        <v>184</v>
      </c>
      <c r="C9" s="13" t="s">
        <v>185</v>
      </c>
      <c r="D9" s="79" t="s">
        <v>186</v>
      </c>
      <c r="E9" s="67">
        <v>600000.0</v>
      </c>
      <c r="F9" s="80">
        <f t="shared" si="1"/>
        <v>714000</v>
      </c>
      <c r="G9" s="81">
        <f t="shared" si="2"/>
        <v>336.9230769</v>
      </c>
      <c r="H9" s="82">
        <f t="shared" si="3"/>
        <v>1314000</v>
      </c>
      <c r="I9" s="78" t="s">
        <v>16</v>
      </c>
      <c r="J9" s="79" t="s">
        <v>187</v>
      </c>
    </row>
    <row r="10" ht="50.25" customHeight="1">
      <c r="A10" s="55" t="s">
        <v>23</v>
      </c>
      <c r="B10" s="78" t="s">
        <v>188</v>
      </c>
      <c r="C10" s="13" t="s">
        <v>189</v>
      </c>
      <c r="D10" s="79" t="s">
        <v>190</v>
      </c>
      <c r="E10" s="83">
        <v>399990.0</v>
      </c>
      <c r="F10" s="80">
        <f t="shared" si="1"/>
        <v>475988.1</v>
      </c>
      <c r="G10" s="81">
        <f t="shared" si="2"/>
        <v>224.6097692</v>
      </c>
      <c r="H10" s="82">
        <f t="shared" si="3"/>
        <v>875978.1</v>
      </c>
      <c r="I10" s="78" t="s">
        <v>16</v>
      </c>
      <c r="J10" s="78" t="s">
        <v>191</v>
      </c>
    </row>
    <row r="11" ht="15.0" hidden="1" customHeight="1">
      <c r="A11" s="25"/>
      <c r="B11" s="59"/>
      <c r="C11" s="59"/>
      <c r="D11" s="59"/>
      <c r="E11" s="59"/>
      <c r="F11" s="59"/>
      <c r="G11" s="84">
        <f>F11+E11</f>
        <v>0</v>
      </c>
      <c r="H11" s="59"/>
      <c r="I11" s="59"/>
      <c r="J11" s="59"/>
    </row>
    <row r="12" ht="12.75" customHeight="1">
      <c r="G12" s="85"/>
    </row>
    <row r="13" ht="138.75" customHeight="1">
      <c r="A13" s="27" t="s">
        <v>192</v>
      </c>
      <c r="B13" s="4"/>
      <c r="C13" s="4"/>
      <c r="D13" s="4"/>
      <c r="E13" s="4"/>
      <c r="F13" s="4"/>
      <c r="G13" s="4"/>
      <c r="H13" s="4"/>
      <c r="I13" s="4"/>
      <c r="J13" s="5"/>
    </row>
    <row r="14" ht="12.75" customHeight="1"/>
    <row r="15" ht="75.0" customHeight="1">
      <c r="A15" s="27" t="s">
        <v>193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194</v>
      </c>
      <c r="C7" s="44" t="s">
        <v>195</v>
      </c>
      <c r="D7" s="44" t="s">
        <v>196</v>
      </c>
      <c r="E7" s="44" t="s">
        <v>197</v>
      </c>
      <c r="F7" s="45" t="s">
        <v>198</v>
      </c>
      <c r="G7" s="46" t="s">
        <v>199</v>
      </c>
      <c r="H7" s="44" t="s">
        <v>9</v>
      </c>
      <c r="I7" s="44" t="s">
        <v>200</v>
      </c>
      <c r="J7" s="44" t="s">
        <v>201</v>
      </c>
      <c r="K7" s="10"/>
      <c r="L7" s="10"/>
      <c r="M7" s="10"/>
      <c r="N7" s="10"/>
      <c r="O7" s="10"/>
      <c r="P7" s="10"/>
      <c r="Q7" s="10"/>
      <c r="R7" s="10"/>
      <c r="S7" s="10"/>
      <c r="T7" s="10"/>
      <c r="U7" s="10"/>
      <c r="V7" s="10"/>
      <c r="W7" s="10"/>
      <c r="X7" s="10"/>
      <c r="Y7" s="10"/>
      <c r="Z7" s="10"/>
    </row>
    <row r="8" ht="50.25" customHeight="1">
      <c r="A8" s="55" t="s">
        <v>12</v>
      </c>
      <c r="B8" s="86" t="s">
        <v>202</v>
      </c>
      <c r="C8" s="87" t="s">
        <v>203</v>
      </c>
      <c r="D8" s="88" t="s">
        <v>204</v>
      </c>
      <c r="E8" s="89">
        <v>5445000.0</v>
      </c>
      <c r="F8" s="90">
        <f t="shared" ref="F8:F10" si="1">E8*1.19</f>
        <v>6479550</v>
      </c>
      <c r="G8" s="35">
        <f t="shared" ref="G8:G10" si="2">(F8+E8)/3900</f>
        <v>3057.576923</v>
      </c>
      <c r="H8" s="91">
        <f t="shared" ref="H8:H10" si="3">G8*3900</f>
        <v>11924550</v>
      </c>
      <c r="I8" s="92" t="s">
        <v>62</v>
      </c>
      <c r="J8" s="86" t="s">
        <v>205</v>
      </c>
    </row>
    <row r="9" ht="50.25" customHeight="1">
      <c r="A9" s="55" t="s">
        <v>18</v>
      </c>
      <c r="B9" s="86" t="s">
        <v>206</v>
      </c>
      <c r="C9" s="87" t="s">
        <v>207</v>
      </c>
      <c r="D9" s="86" t="s">
        <v>208</v>
      </c>
      <c r="E9" s="89">
        <v>101415.0</v>
      </c>
      <c r="F9" s="90">
        <f t="shared" si="1"/>
        <v>120683.85</v>
      </c>
      <c r="G9" s="35">
        <f t="shared" si="2"/>
        <v>56.94842308</v>
      </c>
      <c r="H9" s="91">
        <f t="shared" si="3"/>
        <v>222098.85</v>
      </c>
      <c r="I9" s="92" t="s">
        <v>62</v>
      </c>
      <c r="J9" s="93" t="s">
        <v>209</v>
      </c>
    </row>
    <row r="10" ht="50.25" customHeight="1">
      <c r="A10" s="55" t="s">
        <v>23</v>
      </c>
      <c r="B10" s="92" t="s">
        <v>202</v>
      </c>
      <c r="C10" s="94" t="s">
        <v>210</v>
      </c>
      <c r="D10" s="95" t="s">
        <v>211</v>
      </c>
      <c r="E10" s="89">
        <v>778741.0</v>
      </c>
      <c r="F10" s="90">
        <f t="shared" si="1"/>
        <v>926701.79</v>
      </c>
      <c r="G10" s="35">
        <f t="shared" si="2"/>
        <v>437.2930231</v>
      </c>
      <c r="H10" s="91">
        <f t="shared" si="3"/>
        <v>1705442.79</v>
      </c>
      <c r="I10" s="92" t="s">
        <v>62</v>
      </c>
      <c r="J10" s="93" t="s">
        <v>212</v>
      </c>
    </row>
    <row r="11" ht="15.0" hidden="1" customHeight="1">
      <c r="A11" s="25"/>
      <c r="B11" s="59"/>
      <c r="C11" s="59"/>
      <c r="D11" s="59"/>
      <c r="E11" s="59"/>
      <c r="F11" s="59"/>
      <c r="G11" s="59"/>
      <c r="H11" s="59"/>
      <c r="I11" s="59"/>
      <c r="J11" s="59"/>
    </row>
    <row r="12" ht="12.75" customHeight="1"/>
    <row r="13" ht="138.75" customHeight="1">
      <c r="A13" s="27" t="s">
        <v>213</v>
      </c>
      <c r="B13" s="4"/>
      <c r="C13" s="4"/>
      <c r="D13" s="4"/>
      <c r="E13" s="4"/>
      <c r="F13" s="4"/>
      <c r="G13" s="4"/>
      <c r="H13" s="4"/>
      <c r="I13" s="4"/>
      <c r="J13" s="5"/>
    </row>
    <row r="14" ht="12.75" customHeight="1"/>
    <row r="15" ht="75.0" customHeight="1">
      <c r="A15" s="27" t="s">
        <v>214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215</v>
      </c>
      <c r="C7" s="44" t="s">
        <v>216</v>
      </c>
      <c r="D7" s="44" t="s">
        <v>217</v>
      </c>
      <c r="E7" s="44" t="s">
        <v>218</v>
      </c>
      <c r="F7" s="45" t="s">
        <v>219</v>
      </c>
      <c r="G7" s="46" t="s">
        <v>220</v>
      </c>
      <c r="H7" s="44" t="s">
        <v>9</v>
      </c>
      <c r="I7" s="44" t="s">
        <v>221</v>
      </c>
      <c r="J7" s="44" t="s">
        <v>222</v>
      </c>
      <c r="K7" s="10"/>
      <c r="L7" s="10"/>
      <c r="M7" s="10"/>
      <c r="N7" s="10"/>
      <c r="O7" s="10"/>
      <c r="P7" s="10"/>
      <c r="Q7" s="10"/>
      <c r="R7" s="10"/>
      <c r="S7" s="10"/>
      <c r="T7" s="10"/>
      <c r="U7" s="10"/>
      <c r="V7" s="10"/>
      <c r="W7" s="10"/>
      <c r="X7" s="10"/>
      <c r="Y7" s="10"/>
      <c r="Z7" s="10"/>
    </row>
    <row r="8" ht="50.25" customHeight="1">
      <c r="A8" s="55" t="s">
        <v>12</v>
      </c>
      <c r="B8" s="86" t="s">
        <v>223</v>
      </c>
      <c r="C8" s="87" t="s">
        <v>224</v>
      </c>
      <c r="D8" s="88" t="s">
        <v>225</v>
      </c>
      <c r="E8" s="96">
        <v>1365000.0</v>
      </c>
      <c r="F8" s="96">
        <f t="shared" ref="F8:F10" si="1">E8*1.19</f>
        <v>1624350</v>
      </c>
      <c r="G8" s="35">
        <f t="shared" ref="G8:G10" si="2">(F8+E8)/3900</f>
        <v>766.5</v>
      </c>
      <c r="H8" s="97">
        <f t="shared" ref="H8:H10" si="3">G8*3900</f>
        <v>2989350</v>
      </c>
      <c r="I8" s="78" t="s">
        <v>16</v>
      </c>
      <c r="J8" s="86" t="s">
        <v>226</v>
      </c>
    </row>
    <row r="9" ht="50.25" customHeight="1">
      <c r="A9" s="55" t="s">
        <v>18</v>
      </c>
      <c r="B9" s="86" t="s">
        <v>227</v>
      </c>
      <c r="C9" s="87" t="s">
        <v>228</v>
      </c>
      <c r="D9" s="86" t="s">
        <v>225</v>
      </c>
      <c r="E9" s="96">
        <v>1293600.0</v>
      </c>
      <c r="F9" s="96">
        <f t="shared" si="1"/>
        <v>1539384</v>
      </c>
      <c r="G9" s="35">
        <f t="shared" si="2"/>
        <v>726.4061538</v>
      </c>
      <c r="H9" s="97">
        <f t="shared" si="3"/>
        <v>2832984</v>
      </c>
      <c r="I9" s="78" t="s">
        <v>16</v>
      </c>
      <c r="J9" s="86" t="s">
        <v>229</v>
      </c>
    </row>
    <row r="10" ht="50.25" customHeight="1">
      <c r="A10" s="55" t="s">
        <v>23</v>
      </c>
      <c r="B10" s="78" t="s">
        <v>184</v>
      </c>
      <c r="C10" s="13" t="s">
        <v>230</v>
      </c>
      <c r="D10" s="79" t="s">
        <v>231</v>
      </c>
      <c r="E10" s="67">
        <v>3756303.0</v>
      </c>
      <c r="F10" s="96">
        <f t="shared" si="1"/>
        <v>4470000.57</v>
      </c>
      <c r="G10" s="35">
        <f t="shared" si="2"/>
        <v>2109.308608</v>
      </c>
      <c r="H10" s="97">
        <f t="shared" si="3"/>
        <v>8226303.57</v>
      </c>
      <c r="I10" s="78" t="s">
        <v>16</v>
      </c>
      <c r="J10" s="98" t="s">
        <v>232</v>
      </c>
    </row>
    <row r="11" ht="15.0" hidden="1" customHeight="1">
      <c r="A11" s="25"/>
      <c r="B11" s="59"/>
      <c r="C11" s="59"/>
      <c r="D11" s="59"/>
      <c r="E11" s="59"/>
      <c r="F11" s="59"/>
      <c r="G11" s="59"/>
      <c r="H11" s="59"/>
      <c r="I11" s="59"/>
      <c r="J11" s="59"/>
    </row>
    <row r="12" ht="12.75" customHeight="1"/>
    <row r="13" ht="138.75" customHeight="1">
      <c r="A13" s="27" t="s">
        <v>233</v>
      </c>
      <c r="B13" s="4"/>
      <c r="C13" s="4"/>
      <c r="D13" s="4"/>
      <c r="E13" s="4"/>
      <c r="F13" s="4"/>
      <c r="G13" s="4"/>
      <c r="H13" s="4"/>
      <c r="I13" s="4"/>
      <c r="J13" s="5"/>
    </row>
    <row r="14" ht="12.75" customHeight="1"/>
    <row r="15" ht="75.0" customHeight="1">
      <c r="A15" s="27" t="s">
        <v>234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 width="17.75"/>
    <col customWidth="1" min="3" max="3" width="20.63"/>
    <col customWidth="1" min="4" max="4" width="23.38"/>
    <col customWidth="1" min="5" max="5" width="17.75"/>
    <col customWidth="1" min="6" max="6" width="17.88"/>
    <col customWidth="1" min="7" max="7" width="19.63"/>
    <col customWidth="1" min="8" max="8" width="16.0"/>
    <col customWidth="1" min="9" max="9" width="15.0"/>
    <col customWidth="1" min="10" max="10" width="22.88"/>
    <col customWidth="1" min="11" max="26" width="10.63"/>
  </cols>
  <sheetData>
    <row r="1" ht="12.75" customHeight="1">
      <c r="A1" s="1"/>
    </row>
    <row r="2" ht="12.75" customHeight="1">
      <c r="D2" s="2" t="s">
        <v>0</v>
      </c>
    </row>
    <row r="3" ht="12.75" customHeight="1"/>
    <row r="4" ht="12.75" customHeight="1"/>
    <row r="5" ht="12.75" customHeight="1">
      <c r="A5" s="3" t="s">
        <v>1</v>
      </c>
      <c r="B5" s="4"/>
      <c r="C5" s="4"/>
      <c r="D5" s="4"/>
      <c r="E5" s="4"/>
      <c r="F5" s="4"/>
      <c r="G5" s="4"/>
      <c r="H5" s="4"/>
      <c r="I5" s="4"/>
      <c r="J5" s="5"/>
    </row>
    <row r="6" ht="12.75" customHeight="1"/>
    <row r="7" ht="60.0" customHeight="1">
      <c r="A7" s="6" t="s">
        <v>2</v>
      </c>
      <c r="B7" s="44" t="s">
        <v>235</v>
      </c>
      <c r="C7" s="44" t="s">
        <v>236</v>
      </c>
      <c r="D7" s="44" t="s">
        <v>237</v>
      </c>
      <c r="E7" s="44" t="s">
        <v>238</v>
      </c>
      <c r="F7" s="45" t="s">
        <v>239</v>
      </c>
      <c r="G7" s="46" t="s">
        <v>240</v>
      </c>
      <c r="H7" s="44" t="s">
        <v>9</v>
      </c>
      <c r="I7" s="44" t="s">
        <v>241</v>
      </c>
      <c r="J7" s="44" t="s">
        <v>242</v>
      </c>
    </row>
    <row r="8" ht="69.0" customHeight="1">
      <c r="A8" s="55" t="s">
        <v>12</v>
      </c>
      <c r="B8" s="86" t="s">
        <v>243</v>
      </c>
      <c r="C8" s="87" t="s">
        <v>244</v>
      </c>
      <c r="D8" s="88" t="s">
        <v>245</v>
      </c>
      <c r="E8" s="96">
        <v>273780.0</v>
      </c>
      <c r="F8" s="96">
        <f t="shared" ref="F8:F10" si="1">E8*1.19</f>
        <v>325798.2</v>
      </c>
      <c r="G8" s="35">
        <f t="shared" ref="G8:G10" si="2">(F8+E8)/3900</f>
        <v>153.738</v>
      </c>
      <c r="H8" s="97">
        <f t="shared" ref="H8:H10" si="3">G8*3900</f>
        <v>599578.2</v>
      </c>
      <c r="I8" s="78" t="s">
        <v>16</v>
      </c>
      <c r="J8" s="86" t="s">
        <v>246</v>
      </c>
    </row>
    <row r="9" ht="59.25" customHeight="1">
      <c r="A9" s="55" t="s">
        <v>18</v>
      </c>
      <c r="B9" s="86" t="s">
        <v>247</v>
      </c>
      <c r="C9" s="87" t="s">
        <v>248</v>
      </c>
      <c r="D9" s="86" t="s">
        <v>249</v>
      </c>
      <c r="E9" s="96">
        <v>113670.0</v>
      </c>
      <c r="F9" s="96">
        <f t="shared" si="1"/>
        <v>135267.3</v>
      </c>
      <c r="G9" s="35">
        <f t="shared" si="2"/>
        <v>63.83007692</v>
      </c>
      <c r="H9" s="97">
        <f t="shared" si="3"/>
        <v>248937.3</v>
      </c>
      <c r="I9" s="78" t="s">
        <v>16</v>
      </c>
      <c r="J9" s="86" t="s">
        <v>250</v>
      </c>
    </row>
    <row r="10" ht="78.75" customHeight="1">
      <c r="A10" s="55" t="s">
        <v>23</v>
      </c>
      <c r="B10" s="78" t="s">
        <v>251</v>
      </c>
      <c r="C10" s="13" t="s">
        <v>252</v>
      </c>
      <c r="D10" s="79" t="s">
        <v>253</v>
      </c>
      <c r="E10" s="67">
        <v>178200.0</v>
      </c>
      <c r="F10" s="96">
        <f t="shared" si="1"/>
        <v>212058</v>
      </c>
      <c r="G10" s="35">
        <f t="shared" si="2"/>
        <v>100.0661538</v>
      </c>
      <c r="H10" s="97">
        <f t="shared" si="3"/>
        <v>390258</v>
      </c>
      <c r="I10" s="78" t="s">
        <v>16</v>
      </c>
      <c r="J10" s="98" t="s">
        <v>254</v>
      </c>
    </row>
    <row r="11" ht="12.75" customHeight="1">
      <c r="A11" s="25"/>
      <c r="B11" s="59"/>
      <c r="C11" s="59"/>
      <c r="D11" s="59"/>
      <c r="E11" s="59"/>
      <c r="F11" s="59"/>
      <c r="G11" s="59"/>
      <c r="H11" s="59"/>
      <c r="I11" s="59"/>
      <c r="J11" s="59"/>
    </row>
    <row r="12" ht="12.75" customHeight="1"/>
    <row r="13" ht="12.75" customHeight="1">
      <c r="A13" s="27" t="s">
        <v>255</v>
      </c>
      <c r="B13" s="4"/>
      <c r="C13" s="4"/>
      <c r="D13" s="4"/>
      <c r="E13" s="4"/>
      <c r="F13" s="4"/>
      <c r="G13" s="4"/>
      <c r="H13" s="4"/>
      <c r="I13" s="4"/>
      <c r="J13" s="5"/>
    </row>
    <row r="14" ht="12.75" customHeight="1"/>
    <row r="15" ht="12.75" customHeight="1">
      <c r="A15" s="27" t="s">
        <v>256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5.0"/>
    <col customWidth="1" min="3" max="3" width="14.88"/>
    <col customWidth="1" min="4" max="4" width="20.0"/>
    <col customWidth="1" min="5" max="5" width="16.88"/>
    <col customWidth="1" min="6" max="6" width="17.63"/>
    <col customWidth="1" min="7" max="7" width="17.25"/>
    <col customWidth="1" min="8" max="8" width="23.88"/>
    <col customWidth="1" min="9" max="9" width="22.25"/>
    <col customWidth="1" min="10" max="10" width="24.0"/>
    <col customWidth="1" min="11" max="26" width="10.63"/>
  </cols>
  <sheetData>
    <row r="1" ht="12.75" customHeight="1"/>
    <row r="2" ht="12.75" customHeight="1">
      <c r="A2" s="3" t="s">
        <v>1</v>
      </c>
      <c r="B2" s="4"/>
      <c r="C2" s="4"/>
      <c r="D2" s="4"/>
      <c r="E2" s="4"/>
      <c r="F2" s="4"/>
      <c r="G2" s="4"/>
      <c r="H2" s="4"/>
      <c r="I2" s="4"/>
      <c r="J2" s="5"/>
    </row>
    <row r="3" ht="12.75" customHeight="1"/>
    <row r="4" ht="78.75" customHeight="1">
      <c r="A4" s="6" t="s">
        <v>2</v>
      </c>
      <c r="B4" s="44" t="s">
        <v>257</v>
      </c>
      <c r="C4" s="44" t="s">
        <v>258</v>
      </c>
      <c r="D4" s="44" t="s">
        <v>259</v>
      </c>
      <c r="E4" s="44" t="s">
        <v>260</v>
      </c>
      <c r="F4" s="45" t="s">
        <v>261</v>
      </c>
      <c r="G4" s="46" t="s">
        <v>262</v>
      </c>
      <c r="H4" s="44" t="s">
        <v>9</v>
      </c>
      <c r="I4" s="44" t="s">
        <v>263</v>
      </c>
      <c r="J4" s="44" t="s">
        <v>264</v>
      </c>
    </row>
    <row r="5" ht="61.5" customHeight="1">
      <c r="A5" s="55" t="s">
        <v>12</v>
      </c>
      <c r="B5" s="86" t="s">
        <v>265</v>
      </c>
      <c r="C5" s="87" t="s">
        <v>266</v>
      </c>
      <c r="D5" s="88" t="s">
        <v>267</v>
      </c>
      <c r="E5" s="96">
        <v>1350972.0</v>
      </c>
      <c r="F5" s="96">
        <f t="shared" ref="F5:F7" si="1">E5*1.19</f>
        <v>1607656.68</v>
      </c>
      <c r="G5" s="35">
        <f t="shared" ref="G5:G7" si="2">(F5+E5)/3900</f>
        <v>758.6227385</v>
      </c>
      <c r="H5" s="97">
        <f t="shared" ref="H5:H7" si="3">G5*3900</f>
        <v>2958628.68</v>
      </c>
      <c r="I5" s="78" t="s">
        <v>16</v>
      </c>
      <c r="J5" s="86" t="s">
        <v>268</v>
      </c>
    </row>
    <row r="6" ht="68.25" customHeight="1">
      <c r="A6" s="55" t="s">
        <v>18</v>
      </c>
      <c r="B6" s="86" t="s">
        <v>269</v>
      </c>
      <c r="C6" s="87" t="s">
        <v>270</v>
      </c>
      <c r="D6" s="86" t="s">
        <v>271</v>
      </c>
      <c r="E6" s="96">
        <v>1350972.0</v>
      </c>
      <c r="F6" s="96">
        <f t="shared" si="1"/>
        <v>1607656.68</v>
      </c>
      <c r="G6" s="35">
        <f t="shared" si="2"/>
        <v>758.6227385</v>
      </c>
      <c r="H6" s="97">
        <f t="shared" si="3"/>
        <v>2958628.68</v>
      </c>
      <c r="I6" s="78" t="s">
        <v>16</v>
      </c>
      <c r="J6" s="86" t="s">
        <v>272</v>
      </c>
    </row>
    <row r="7" ht="63.0" customHeight="1">
      <c r="A7" s="55" t="s">
        <v>23</v>
      </c>
      <c r="B7" s="78" t="s">
        <v>273</v>
      </c>
      <c r="C7" s="13" t="s">
        <v>274</v>
      </c>
      <c r="D7" s="79" t="s">
        <v>271</v>
      </c>
      <c r="E7" s="67">
        <v>1688634.0</v>
      </c>
      <c r="F7" s="96">
        <f t="shared" si="1"/>
        <v>2009474.46</v>
      </c>
      <c r="G7" s="35">
        <f t="shared" si="2"/>
        <v>948.2329385</v>
      </c>
      <c r="H7" s="97">
        <f t="shared" si="3"/>
        <v>3698108.46</v>
      </c>
      <c r="I7" s="78" t="s">
        <v>16</v>
      </c>
      <c r="J7" s="98" t="s">
        <v>275</v>
      </c>
    </row>
    <row r="8" ht="17.25" customHeight="1">
      <c r="A8" s="25"/>
      <c r="B8" s="59"/>
      <c r="C8" s="59"/>
      <c r="D8" s="59"/>
      <c r="E8" s="59"/>
      <c r="F8" s="59"/>
      <c r="G8" s="59"/>
      <c r="H8" s="59"/>
      <c r="I8" s="59"/>
      <c r="J8" s="59"/>
    </row>
    <row r="9" ht="12.75" customHeight="1"/>
    <row r="10" ht="12.75" customHeight="1">
      <c r="A10" s="27" t="s">
        <v>276</v>
      </c>
      <c r="B10" s="4"/>
      <c r="C10" s="4"/>
      <c r="D10" s="4"/>
      <c r="E10" s="4"/>
      <c r="F10" s="4"/>
      <c r="G10" s="4"/>
      <c r="H10" s="4"/>
      <c r="I10" s="4"/>
      <c r="J10" s="5"/>
    </row>
    <row r="11" ht="12.75" customHeight="1"/>
    <row r="12" ht="12.75" customHeight="1">
      <c r="A12" s="27" t="s">
        <v>277</v>
      </c>
      <c r="B12" s="4"/>
      <c r="C12" s="4"/>
      <c r="D12" s="4"/>
      <c r="E12" s="4"/>
      <c r="F12" s="4"/>
      <c r="G12" s="4"/>
      <c r="H12" s="4"/>
      <c r="I12" s="4"/>
      <c r="J12" s="5"/>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2:J2"/>
    <mergeCell ref="A10:J10"/>
    <mergeCell ref="A12:J12"/>
  </mergeCells>
  <hyperlinks>
    <hyperlink r:id="rId1" ref="C5"/>
    <hyperlink r:id="rId2" ref="C6"/>
    <hyperlink r:id="rId3" ref="C7"/>
  </hyperlinks>
  <printOptions/>
  <pageMargins bottom="0.75" footer="0.0" header="0.0" left="0.7" right="0.7" top="0.75"/>
  <pageSetup orientation="portrait"/>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 width="20.63"/>
    <col customWidth="1" min="3" max="3" width="19.0"/>
    <col customWidth="1" min="4" max="4" width="18.63"/>
    <col customWidth="1" min="5" max="5" width="15.38"/>
    <col customWidth="1" min="6" max="6" width="16.63"/>
    <col customWidth="1" min="7" max="7" width="18.88"/>
    <col customWidth="1" min="8" max="8" width="17.13"/>
    <col customWidth="1" min="9" max="9" width="16.25"/>
    <col customWidth="1" min="10" max="10" width="22.13"/>
    <col customWidth="1" min="11" max="26" width="10.63"/>
  </cols>
  <sheetData>
    <row r="1" ht="12.75" customHeight="1"/>
    <row r="2" ht="12.75" customHeight="1">
      <c r="A2" s="3" t="s">
        <v>1</v>
      </c>
      <c r="B2" s="4"/>
      <c r="C2" s="4"/>
      <c r="D2" s="4"/>
      <c r="E2" s="4"/>
      <c r="F2" s="4"/>
      <c r="G2" s="4"/>
      <c r="H2" s="4"/>
      <c r="I2" s="4"/>
      <c r="J2" s="5"/>
    </row>
    <row r="3" ht="12.75" customHeight="1"/>
    <row r="4" ht="69.0" customHeight="1">
      <c r="A4" s="6" t="s">
        <v>2</v>
      </c>
      <c r="B4" s="44" t="s">
        <v>278</v>
      </c>
      <c r="C4" s="44" t="s">
        <v>279</v>
      </c>
      <c r="D4" s="44" t="s">
        <v>280</v>
      </c>
      <c r="E4" s="44" t="s">
        <v>281</v>
      </c>
      <c r="F4" s="45" t="s">
        <v>282</v>
      </c>
      <c r="G4" s="46" t="s">
        <v>283</v>
      </c>
      <c r="H4" s="44" t="s">
        <v>9</v>
      </c>
      <c r="I4" s="44" t="s">
        <v>284</v>
      </c>
      <c r="J4" s="44" t="s">
        <v>285</v>
      </c>
    </row>
    <row r="5" ht="82.5" customHeight="1">
      <c r="A5" s="55" t="s">
        <v>12</v>
      </c>
      <c r="B5" s="86" t="s">
        <v>286</v>
      </c>
      <c r="C5" s="87" t="s">
        <v>287</v>
      </c>
      <c r="D5" s="99" t="s">
        <v>288</v>
      </c>
      <c r="E5" s="96">
        <v>1350972.0</v>
      </c>
      <c r="F5" s="96">
        <f t="shared" ref="F5:F7" si="1">E5*1.19</f>
        <v>1607656.68</v>
      </c>
      <c r="G5" s="35">
        <f t="shared" ref="G5:G7" si="2">(F5+E5)/3900</f>
        <v>758.6227385</v>
      </c>
      <c r="H5" s="97">
        <f t="shared" ref="H5:H7" si="3">G5*3900</f>
        <v>2958628.68</v>
      </c>
      <c r="I5" s="78" t="s">
        <v>16</v>
      </c>
      <c r="J5" s="86" t="s">
        <v>289</v>
      </c>
    </row>
    <row r="6" ht="81.0" customHeight="1">
      <c r="A6" s="55" t="s">
        <v>18</v>
      </c>
      <c r="B6" s="86" t="s">
        <v>290</v>
      </c>
      <c r="C6" s="87" t="s">
        <v>291</v>
      </c>
      <c r="D6" s="100" t="s">
        <v>292</v>
      </c>
      <c r="E6" s="96">
        <v>1350972.0</v>
      </c>
      <c r="F6" s="96">
        <f t="shared" si="1"/>
        <v>1607656.68</v>
      </c>
      <c r="G6" s="35">
        <f t="shared" si="2"/>
        <v>758.6227385</v>
      </c>
      <c r="H6" s="97">
        <f t="shared" si="3"/>
        <v>2958628.68</v>
      </c>
      <c r="I6" s="78" t="s">
        <v>16</v>
      </c>
      <c r="J6" s="86" t="s">
        <v>293</v>
      </c>
    </row>
    <row r="7" ht="78.0" customHeight="1">
      <c r="A7" s="55" t="s">
        <v>23</v>
      </c>
      <c r="B7" s="78" t="s">
        <v>294</v>
      </c>
      <c r="C7" s="13" t="s">
        <v>295</v>
      </c>
      <c r="D7" s="101" t="s">
        <v>292</v>
      </c>
      <c r="E7" s="67">
        <v>1688634.0</v>
      </c>
      <c r="F7" s="96">
        <f t="shared" si="1"/>
        <v>2009474.46</v>
      </c>
      <c r="G7" s="35">
        <f t="shared" si="2"/>
        <v>948.2329385</v>
      </c>
      <c r="H7" s="97">
        <f t="shared" si="3"/>
        <v>3698108.46</v>
      </c>
      <c r="I7" s="78" t="s">
        <v>16</v>
      </c>
      <c r="J7" s="98" t="s">
        <v>296</v>
      </c>
    </row>
    <row r="8" ht="12.75" customHeight="1">
      <c r="A8" s="25"/>
      <c r="B8" s="59"/>
      <c r="C8" s="59"/>
      <c r="D8" s="59"/>
      <c r="E8" s="59"/>
      <c r="F8" s="59"/>
      <c r="G8" s="59"/>
      <c r="H8" s="59"/>
      <c r="I8" s="59"/>
      <c r="J8" s="59"/>
    </row>
    <row r="9" ht="12.75" customHeight="1"/>
    <row r="10" ht="12.75" customHeight="1">
      <c r="A10" s="27" t="s">
        <v>297</v>
      </c>
      <c r="B10" s="4"/>
      <c r="C10" s="4"/>
      <c r="D10" s="4"/>
      <c r="E10" s="4"/>
      <c r="F10" s="4"/>
      <c r="G10" s="4"/>
      <c r="H10" s="4"/>
      <c r="I10" s="4"/>
      <c r="J10" s="5"/>
    </row>
    <row r="11" ht="12.75" customHeight="1"/>
    <row r="12" ht="12.75" customHeight="1">
      <c r="A12" s="27" t="s">
        <v>298</v>
      </c>
      <c r="B12" s="4"/>
      <c r="C12" s="4"/>
      <c r="D12" s="4"/>
      <c r="E12" s="4"/>
      <c r="F12" s="4"/>
      <c r="G12" s="4"/>
      <c r="H12" s="4"/>
      <c r="I12" s="4"/>
      <c r="J12" s="5"/>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2:J2"/>
    <mergeCell ref="A10:J10"/>
    <mergeCell ref="A12:J12"/>
  </mergeCells>
  <hyperlinks>
    <hyperlink r:id="rId1" ref="C5"/>
    <hyperlink r:id="rId2" ref="C6"/>
    <hyperlink r:id="rId3" ref="C7"/>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